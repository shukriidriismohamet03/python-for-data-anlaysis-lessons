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huuSHuu\Downloads\"/>
    </mc:Choice>
  </mc:AlternateContent>
  <xr:revisionPtr revIDLastSave="0" documentId="13_ncr:1_{EA4AD261-10C7-461E-B4FF-5DD14CFB4FF1}" xr6:coauthVersionLast="47" xr6:coauthVersionMax="47" xr10:uidLastSave="{00000000-0000-0000-0000-000000000000}"/>
  <bookViews>
    <workbookView xWindow="-110" yWindow="-110" windowWidth="19420" windowHeight="10300" firstSheet="1" activeTab="6" xr2:uid="{AB4C214C-1356-4C29-A360-66FBAFE9083B}"/>
  </bookViews>
  <sheets>
    <sheet name="raw_data" sheetId="1" r:id="rId1"/>
    <sheet name="pivottable" sheetId="37" r:id="rId2"/>
    <sheet name="clean_data" sheetId="3" r:id="rId3"/>
    <sheet name="Finding" sheetId="35" r:id="rId4"/>
    <sheet name="Dashboard" sheetId="50" r:id="rId5"/>
    <sheet name="Sheet1" sheetId="57" r:id="rId6"/>
    <sheet name="analysing data" sheetId="36" r:id="rId7"/>
  </sheets>
  <definedNames>
    <definedName name="Slicer_Case_Status">#N/A</definedName>
    <definedName name="Slicer_Crime_month_name">#N/A</definedName>
    <definedName name="Slicer_Crime_Type">#N/A</definedName>
    <definedName name="Slicer_Crime_Type1">#N/A</definedName>
    <definedName name="Slicer_Crime_Type2">#N/A</definedName>
    <definedName name="Slicer_Crime_Type3">#N/A</definedName>
    <definedName name="Slicer_Crime_Type4">#N/A</definedName>
    <definedName name="Slicer_Crime_Type5">#N/A</definedName>
    <definedName name="Slicer_Crime_Year1">#N/A</definedName>
    <definedName name="Slicer_District">#N/A</definedName>
    <definedName name="Slicer_District1">#N/A</definedName>
    <definedName name="Slicer_Severity_Level">#N/A</definedName>
    <definedName name="Slicer_Victim_Gender">#N/A</definedName>
    <definedName name="Slicer_Victim_Gender1">#N/A</definedName>
  </definedNames>
  <calcPr calcId="191029" iterateDelta="1E-4"/>
  <pivotCaches>
    <pivotCache cacheId="0" r:id="rId8"/>
    <pivotCache cacheId="1" r:id="rId9"/>
    <pivotCache cacheId="2" r:id="rId10"/>
    <pivotCache cacheId="3" r:id="rId11"/>
    <pivotCache cacheId="4" r:id="rId12"/>
    <pivotCache cacheId="5"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67" i="36" l="1"/>
  <c r="B66" i="36"/>
  <c r="B65" i="36"/>
  <c r="B64" i="36"/>
  <c r="B63" i="36"/>
  <c r="B58" i="36"/>
  <c r="B52" i="36"/>
  <c r="B51" i="36"/>
  <c r="H11" i="3"/>
  <c r="I11" i="3"/>
  <c r="J11" i="3"/>
  <c r="K11" i="3"/>
  <c r="M11" i="3" s="1"/>
  <c r="L11" i="3"/>
  <c r="H12" i="3"/>
  <c r="I12" i="3"/>
  <c r="J12" i="3"/>
  <c r="K12" i="3"/>
  <c r="M12" i="3" s="1"/>
  <c r="L12" i="3"/>
  <c r="N12" i="3"/>
  <c r="H13" i="3"/>
  <c r="I13" i="3"/>
  <c r="J13" i="3"/>
  <c r="K13" i="3"/>
  <c r="L13" i="3"/>
  <c r="N13" i="3"/>
  <c r="H14" i="3"/>
  <c r="I14" i="3"/>
  <c r="J14" i="3"/>
  <c r="K14" i="3"/>
  <c r="L14" i="3"/>
  <c r="N14" i="3"/>
  <c r="H15" i="3"/>
  <c r="I15" i="3"/>
  <c r="J15" i="3"/>
  <c r="K15" i="3"/>
  <c r="L15" i="3"/>
  <c r="N15" i="3"/>
  <c r="H16" i="3"/>
  <c r="I16" i="3"/>
  <c r="J16" i="3"/>
  <c r="K16" i="3"/>
  <c r="L16" i="3"/>
  <c r="N16" i="3"/>
  <c r="G17" i="3"/>
  <c r="H17" i="3"/>
  <c r="I17" i="3"/>
  <c r="J17" i="3"/>
  <c r="K17" i="3"/>
  <c r="M17" i="3" s="1"/>
  <c r="L17" i="3"/>
  <c r="D18" i="3"/>
  <c r="K18" i="3" s="1"/>
  <c r="M18" i="3" s="1"/>
  <c r="H18" i="3"/>
  <c r="I18" i="3"/>
  <c r="J18" i="3"/>
  <c r="L18" i="3"/>
  <c r="D19" i="3"/>
  <c r="K19" i="3" s="1"/>
  <c r="H19" i="3"/>
  <c r="I19" i="3"/>
  <c r="J19" i="3"/>
  <c r="L19" i="3"/>
  <c r="N19" i="3"/>
  <c r="F20" i="3" a="1"/>
  <c r="F20" i="3" s="1"/>
  <c r="K20" i="3" s="1"/>
  <c r="M20" i="3" s="1"/>
  <c r="H20" i="3"/>
  <c r="I20" i="3"/>
  <c r="J20" i="3"/>
  <c r="L20" i="3"/>
  <c r="N20" i="3"/>
  <c r="H21" i="3"/>
  <c r="I21" i="3"/>
  <c r="J21" i="3"/>
  <c r="K21" i="3"/>
  <c r="L21" i="3"/>
  <c r="N21" i="3"/>
  <c r="H22" i="3"/>
  <c r="I22" i="3"/>
  <c r="J22" i="3"/>
  <c r="K22" i="3"/>
  <c r="L22" i="3"/>
  <c r="M22" i="3" s="1"/>
  <c r="N22" i="3"/>
  <c r="H23" i="3"/>
  <c r="I23" i="3"/>
  <c r="J23" i="3"/>
  <c r="K23" i="3"/>
  <c r="L23" i="3"/>
  <c r="N23" i="3"/>
  <c r="C24" i="3" a="1"/>
  <c r="C24" i="3" s="1"/>
  <c r="H24" i="3"/>
  <c r="I24" i="3"/>
  <c r="J24" i="3"/>
  <c r="L24" i="3"/>
  <c r="N24" i="3"/>
  <c r="H25" i="3"/>
  <c r="I25" i="3"/>
  <c r="J25" i="3"/>
  <c r="K25" i="3"/>
  <c r="L25" i="3"/>
  <c r="N25" i="3"/>
  <c r="H26" i="3"/>
  <c r="I26" i="3"/>
  <c r="J26" i="3"/>
  <c r="K26" i="3"/>
  <c r="L26" i="3"/>
  <c r="M26" i="3" s="1"/>
  <c r="N26" i="3"/>
  <c r="H27" i="3"/>
  <c r="I27" i="3"/>
  <c r="J27" i="3"/>
  <c r="K27" i="3"/>
  <c r="L27" i="3"/>
  <c r="M27" i="3"/>
  <c r="N27" i="3"/>
  <c r="H28" i="3"/>
  <c r="I28" i="3"/>
  <c r="J28" i="3"/>
  <c r="K28" i="3"/>
  <c r="L28" i="3"/>
  <c r="N28" i="3"/>
  <c r="H29" i="3"/>
  <c r="I29" i="3"/>
  <c r="J29" i="3"/>
  <c r="K29" i="3"/>
  <c r="L29" i="3"/>
  <c r="M29" i="3" s="1"/>
  <c r="N29" i="3"/>
  <c r="F30" i="3" a="1"/>
  <c r="F30" i="3" s="1"/>
  <c r="K30" i="3" s="1"/>
  <c r="M30" i="3" s="1"/>
  <c r="H30" i="3"/>
  <c r="I30" i="3"/>
  <c r="J30" i="3"/>
  <c r="L30" i="3"/>
  <c r="N30" i="3"/>
  <c r="B31" i="3"/>
  <c r="J31" i="3" s="1"/>
  <c r="L31" i="3"/>
  <c r="N31" i="3"/>
  <c r="B32" i="3"/>
  <c r="J32" i="3" s="1"/>
  <c r="H32" i="3"/>
  <c r="L32" i="3"/>
  <c r="N32" i="3"/>
  <c r="H33" i="3"/>
  <c r="I33" i="3"/>
  <c r="J33" i="3"/>
  <c r="K33" i="3"/>
  <c r="M33" i="3" s="1"/>
  <c r="L33" i="3"/>
  <c r="N33" i="3"/>
  <c r="H34" i="3"/>
  <c r="I34" i="3"/>
  <c r="J34" i="3"/>
  <c r="K34" i="3"/>
  <c r="L34" i="3"/>
  <c r="N34" i="3"/>
  <c r="H35" i="3"/>
  <c r="I35" i="3"/>
  <c r="J35" i="3"/>
  <c r="K35" i="3"/>
  <c r="L35" i="3"/>
  <c r="N35" i="3"/>
  <c r="H36" i="3"/>
  <c r="I36" i="3"/>
  <c r="J36" i="3"/>
  <c r="K36" i="3"/>
  <c r="L36" i="3"/>
  <c r="M36" i="3" s="1"/>
  <c r="C37" i="3" a="1"/>
  <c r="C37" i="3" s="1"/>
  <c r="N69" i="3" s="1"/>
  <c r="H37" i="3"/>
  <c r="I37" i="3"/>
  <c r="J37" i="3"/>
  <c r="L37" i="3"/>
  <c r="N37" i="3"/>
  <c r="B38" i="3"/>
  <c r="H38" i="3" s="1"/>
  <c r="I38" i="3"/>
  <c r="L38" i="3"/>
  <c r="N38" i="3"/>
  <c r="F39" i="3" a="1"/>
  <c r="F39" i="3" s="1"/>
  <c r="K39" i="3" s="1"/>
  <c r="M39" i="3" s="1"/>
  <c r="H39" i="3"/>
  <c r="I39" i="3"/>
  <c r="J39" i="3"/>
  <c r="L39" i="3"/>
  <c r="N39" i="3"/>
  <c r="H40" i="3"/>
  <c r="I40" i="3"/>
  <c r="J40" i="3"/>
  <c r="K40" i="3"/>
  <c r="L40" i="3"/>
  <c r="N40" i="3"/>
  <c r="H41" i="3"/>
  <c r="I41" i="3"/>
  <c r="J41" i="3"/>
  <c r="K41" i="3"/>
  <c r="M41" i="3" s="1"/>
  <c r="L41" i="3"/>
  <c r="N41" i="3"/>
  <c r="B42" i="3"/>
  <c r="H42" i="3" s="1"/>
  <c r="L42" i="3"/>
  <c r="N42" i="3"/>
  <c r="D43" i="3"/>
  <c r="N205" i="3" s="1"/>
  <c r="H43" i="3"/>
  <c r="I43" i="3"/>
  <c r="J43" i="3"/>
  <c r="L43" i="3"/>
  <c r="N43" i="3"/>
  <c r="H44" i="3"/>
  <c r="I44" i="3"/>
  <c r="J44" i="3"/>
  <c r="K44" i="3"/>
  <c r="L44" i="3"/>
  <c r="N44" i="3"/>
  <c r="H45" i="3"/>
  <c r="I45" i="3"/>
  <c r="J45" i="3"/>
  <c r="K45" i="3"/>
  <c r="L45" i="3"/>
  <c r="N45" i="3"/>
  <c r="H46" i="3"/>
  <c r="I46" i="3"/>
  <c r="J46" i="3"/>
  <c r="K46" i="3"/>
  <c r="M46" i="3" s="1"/>
  <c r="L46" i="3"/>
  <c r="N46" i="3"/>
  <c r="G47" i="3"/>
  <c r="K47" i="3" s="1"/>
  <c r="H47" i="3"/>
  <c r="I47" i="3"/>
  <c r="J47" i="3"/>
  <c r="L47" i="3"/>
  <c r="N47" i="3"/>
  <c r="D48" i="3"/>
  <c r="N18" i="3" s="1"/>
  <c r="H48" i="3"/>
  <c r="I48" i="3"/>
  <c r="J48" i="3"/>
  <c r="L48" i="3"/>
  <c r="N48" i="3"/>
  <c r="H49" i="3"/>
  <c r="I49" i="3"/>
  <c r="J49" i="3"/>
  <c r="K49" i="3"/>
  <c r="L49" i="3"/>
  <c r="N49" i="3"/>
  <c r="H50" i="3"/>
  <c r="I50" i="3"/>
  <c r="J50" i="3"/>
  <c r="K50" i="3"/>
  <c r="M50" i="3" s="1"/>
  <c r="L50" i="3"/>
  <c r="B51" i="3"/>
  <c r="K51" i="3" s="1"/>
  <c r="L51" i="3"/>
  <c r="N51" i="3"/>
  <c r="H52" i="3"/>
  <c r="I52" i="3"/>
  <c r="J52" i="3"/>
  <c r="K52" i="3"/>
  <c r="L52" i="3"/>
  <c r="N52" i="3"/>
  <c r="B53" i="3"/>
  <c r="I53" i="3" s="1"/>
  <c r="L53" i="3"/>
  <c r="H54" i="3"/>
  <c r="I54" i="3"/>
  <c r="J54" i="3"/>
  <c r="K54" i="3"/>
  <c r="L54" i="3"/>
  <c r="N54" i="3"/>
  <c r="B55" i="3"/>
  <c r="J55" i="3" s="1"/>
  <c r="C55" i="3" a="1"/>
  <c r="C55" i="3" s="1"/>
  <c r="N144" i="3" s="1"/>
  <c r="I55" i="3"/>
  <c r="L55" i="3"/>
  <c r="N55" i="3"/>
  <c r="H56" i="3"/>
  <c r="I56" i="3"/>
  <c r="J56" i="3"/>
  <c r="K56" i="3"/>
  <c r="L56" i="3"/>
  <c r="N56" i="3"/>
  <c r="H57" i="3"/>
  <c r="I57" i="3"/>
  <c r="J57" i="3"/>
  <c r="K57" i="3"/>
  <c r="M57" i="3" s="1"/>
  <c r="L57" i="3"/>
  <c r="N57" i="3"/>
  <c r="H58" i="3"/>
  <c r="I58" i="3"/>
  <c r="J58" i="3"/>
  <c r="K58" i="3"/>
  <c r="L58" i="3"/>
  <c r="M58" i="3"/>
  <c r="N58" i="3"/>
  <c r="H59" i="3"/>
  <c r="I59" i="3"/>
  <c r="J59" i="3"/>
  <c r="K59" i="3"/>
  <c r="L59" i="3"/>
  <c r="N59" i="3"/>
  <c r="H60" i="3"/>
  <c r="I60" i="3"/>
  <c r="J60" i="3"/>
  <c r="K60" i="3"/>
  <c r="L60" i="3"/>
  <c r="H61" i="3"/>
  <c r="I61" i="3"/>
  <c r="J61" i="3"/>
  <c r="K61" i="3"/>
  <c r="M61" i="3" s="1"/>
  <c r="L61" i="3"/>
  <c r="N61" i="3"/>
  <c r="H62" i="3"/>
  <c r="I62" i="3"/>
  <c r="J62" i="3"/>
  <c r="K62" i="3"/>
  <c r="L62" i="3"/>
  <c r="N62" i="3"/>
  <c r="H63" i="3"/>
  <c r="I63" i="3"/>
  <c r="J63" i="3"/>
  <c r="K63" i="3"/>
  <c r="M63" i="3" s="1"/>
  <c r="L63" i="3"/>
  <c r="N63" i="3"/>
  <c r="H64" i="3"/>
  <c r="I64" i="3"/>
  <c r="J64" i="3"/>
  <c r="K64" i="3"/>
  <c r="L64" i="3"/>
  <c r="N64" i="3"/>
  <c r="H65" i="3"/>
  <c r="I65" i="3"/>
  <c r="J65" i="3"/>
  <c r="K65" i="3"/>
  <c r="L65" i="3"/>
  <c r="N65" i="3"/>
  <c r="G66" i="3"/>
  <c r="K66" i="3" s="1"/>
  <c r="H66" i="3"/>
  <c r="I66" i="3"/>
  <c r="J66" i="3"/>
  <c r="L66" i="3"/>
  <c r="H67" i="3"/>
  <c r="I67" i="3"/>
  <c r="J67" i="3"/>
  <c r="K67" i="3"/>
  <c r="L67" i="3"/>
  <c r="H68" i="3"/>
  <c r="I68" i="3"/>
  <c r="J68" i="3"/>
  <c r="K68" i="3"/>
  <c r="M68" i="3" s="1"/>
  <c r="L68" i="3"/>
  <c r="N68" i="3"/>
  <c r="H69" i="3"/>
  <c r="I69" i="3"/>
  <c r="J69" i="3"/>
  <c r="K69" i="3"/>
  <c r="L69" i="3"/>
  <c r="M69" i="3" s="1"/>
  <c r="G70" i="3"/>
  <c r="K70" i="3" s="1"/>
  <c r="H70" i="3"/>
  <c r="I70" i="3"/>
  <c r="J70" i="3"/>
  <c r="L70" i="3"/>
  <c r="N70" i="3"/>
  <c r="C71" i="3" a="1"/>
  <c r="C71" i="3" s="1"/>
  <c r="H71" i="3"/>
  <c r="I71" i="3"/>
  <c r="J71" i="3"/>
  <c r="L71" i="3"/>
  <c r="H72" i="3"/>
  <c r="I72" i="3"/>
  <c r="J72" i="3"/>
  <c r="K72" i="3"/>
  <c r="L72" i="3"/>
  <c r="M72" i="3" s="1"/>
  <c r="N72" i="3"/>
  <c r="H73" i="3"/>
  <c r="I73" i="3"/>
  <c r="J73" i="3"/>
  <c r="K73" i="3"/>
  <c r="L73" i="3"/>
  <c r="N73" i="3"/>
  <c r="D74" i="3"/>
  <c r="K74" i="3" s="1"/>
  <c r="H74" i="3"/>
  <c r="I74" i="3"/>
  <c r="J74" i="3"/>
  <c r="L74" i="3"/>
  <c r="N74" i="3"/>
  <c r="B75" i="3"/>
  <c r="I75" i="3" s="1"/>
  <c r="L75" i="3"/>
  <c r="N75" i="3"/>
  <c r="H76" i="3"/>
  <c r="I76" i="3"/>
  <c r="J76" i="3"/>
  <c r="K76" i="3"/>
  <c r="L76" i="3"/>
  <c r="N76" i="3"/>
  <c r="H77" i="3"/>
  <c r="I77" i="3"/>
  <c r="J77" i="3"/>
  <c r="K77" i="3"/>
  <c r="L77" i="3"/>
  <c r="N77" i="3"/>
  <c r="F78" i="3" a="1"/>
  <c r="F78" i="3" s="1"/>
  <c r="K78" i="3" s="1"/>
  <c r="M78" i="3" s="1"/>
  <c r="H78" i="3"/>
  <c r="I78" i="3"/>
  <c r="J78" i="3"/>
  <c r="L78" i="3"/>
  <c r="N78" i="3"/>
  <c r="H79" i="3"/>
  <c r="I79" i="3"/>
  <c r="J79" i="3"/>
  <c r="K79" i="3"/>
  <c r="L79" i="3"/>
  <c r="M79" i="3"/>
  <c r="N79" i="3"/>
  <c r="H80" i="3"/>
  <c r="I80" i="3"/>
  <c r="J80" i="3"/>
  <c r="K80" i="3"/>
  <c r="M80" i="3" s="1"/>
  <c r="L80" i="3"/>
  <c r="N80" i="3"/>
  <c r="H81" i="3"/>
  <c r="I81" i="3"/>
  <c r="J81" i="3"/>
  <c r="K81" i="3"/>
  <c r="L81" i="3"/>
  <c r="N81" i="3"/>
  <c r="H82" i="3"/>
  <c r="I82" i="3"/>
  <c r="J82" i="3"/>
  <c r="K82" i="3"/>
  <c r="L82" i="3"/>
  <c r="N82" i="3"/>
  <c r="H83" i="3"/>
  <c r="I83" i="3"/>
  <c r="J83" i="3"/>
  <c r="K83" i="3"/>
  <c r="L83" i="3"/>
  <c r="N83" i="3"/>
  <c r="D84" i="3"/>
  <c r="K84" i="3" s="1"/>
  <c r="M84" i="3" s="1"/>
  <c r="H84" i="3"/>
  <c r="I84" i="3"/>
  <c r="J84" i="3"/>
  <c r="L84" i="3"/>
  <c r="N84" i="3"/>
  <c r="H85" i="3"/>
  <c r="I85" i="3"/>
  <c r="J85" i="3"/>
  <c r="K85" i="3"/>
  <c r="L85" i="3"/>
  <c r="B86" i="3"/>
  <c r="H86" i="3" s="1"/>
  <c r="L86" i="3"/>
  <c r="N86" i="3"/>
  <c r="H87" i="3"/>
  <c r="I87" i="3"/>
  <c r="J87" i="3"/>
  <c r="K87" i="3"/>
  <c r="L87" i="3"/>
  <c r="M87" i="3" s="1"/>
  <c r="N87" i="3"/>
  <c r="H88" i="3"/>
  <c r="I88" i="3"/>
  <c r="J88" i="3"/>
  <c r="K88" i="3"/>
  <c r="L88" i="3"/>
  <c r="N88" i="3"/>
  <c r="H89" i="3"/>
  <c r="I89" i="3"/>
  <c r="J89" i="3"/>
  <c r="K89" i="3"/>
  <c r="L89" i="3"/>
  <c r="H90" i="3"/>
  <c r="I90" i="3"/>
  <c r="J90" i="3"/>
  <c r="K90" i="3"/>
  <c r="M90" i="3" s="1"/>
  <c r="L90" i="3"/>
  <c r="N90" i="3"/>
  <c r="H91" i="3"/>
  <c r="I91" i="3"/>
  <c r="J91" i="3"/>
  <c r="K91" i="3"/>
  <c r="M91" i="3" s="1"/>
  <c r="L91" i="3"/>
  <c r="N91" i="3"/>
  <c r="H92" i="3"/>
  <c r="I92" i="3"/>
  <c r="J92" i="3"/>
  <c r="K92" i="3"/>
  <c r="L92" i="3"/>
  <c r="M92" i="3"/>
  <c r="N92" i="3"/>
  <c r="H93" i="3"/>
  <c r="I93" i="3"/>
  <c r="J93" i="3"/>
  <c r="L93" i="3"/>
  <c r="N93" i="3"/>
  <c r="H94" i="3"/>
  <c r="I94" i="3"/>
  <c r="J94" i="3"/>
  <c r="K94" i="3"/>
  <c r="M94" i="3" s="1"/>
  <c r="L94" i="3"/>
  <c r="N94" i="3"/>
  <c r="H95" i="3"/>
  <c r="I95" i="3"/>
  <c r="J95" i="3"/>
  <c r="K95" i="3"/>
  <c r="M95" i="3" s="1"/>
  <c r="L95" i="3"/>
  <c r="N95" i="3"/>
  <c r="B96" i="3"/>
  <c r="H96" i="3" s="1"/>
  <c r="J96" i="3"/>
  <c r="L96" i="3"/>
  <c r="N96" i="3"/>
  <c r="H97" i="3"/>
  <c r="I97" i="3"/>
  <c r="J97" i="3"/>
  <c r="K97" i="3"/>
  <c r="L97" i="3"/>
  <c r="N97" i="3"/>
  <c r="D98" i="3"/>
  <c r="N66" i="3" s="1"/>
  <c r="H98" i="3"/>
  <c r="I98" i="3"/>
  <c r="J98" i="3"/>
  <c r="L98" i="3"/>
  <c r="N98" i="3"/>
  <c r="C99" i="3" a="1"/>
  <c r="C99" i="3" s="1"/>
  <c r="H99" i="3"/>
  <c r="I99" i="3"/>
  <c r="J99" i="3"/>
  <c r="L99" i="3"/>
  <c r="N99" i="3"/>
  <c r="C100" i="3" a="1"/>
  <c r="C100" i="3"/>
  <c r="K100" i="3" s="1"/>
  <c r="M100" i="3" s="1"/>
  <c r="H100" i="3"/>
  <c r="I100" i="3"/>
  <c r="J100" i="3"/>
  <c r="L100" i="3"/>
  <c r="N100" i="3"/>
  <c r="H101" i="3"/>
  <c r="I101" i="3"/>
  <c r="J101" i="3"/>
  <c r="K101" i="3"/>
  <c r="L101" i="3"/>
  <c r="M101" i="3"/>
  <c r="N101" i="3"/>
  <c r="H102" i="3"/>
  <c r="I102" i="3"/>
  <c r="J102" i="3"/>
  <c r="K102" i="3"/>
  <c r="L102" i="3"/>
  <c r="N102" i="3"/>
  <c r="H103" i="3"/>
  <c r="I103" i="3"/>
  <c r="J103" i="3"/>
  <c r="K103" i="3"/>
  <c r="M103" i="3" s="1"/>
  <c r="L103" i="3"/>
  <c r="N103" i="3"/>
  <c r="H104" i="3"/>
  <c r="I104" i="3"/>
  <c r="J104" i="3"/>
  <c r="K104" i="3"/>
  <c r="L104" i="3"/>
  <c r="M104" i="3" s="1"/>
  <c r="N104" i="3"/>
  <c r="H105" i="3"/>
  <c r="I105" i="3"/>
  <c r="J105" i="3"/>
  <c r="K105" i="3"/>
  <c r="L105" i="3"/>
  <c r="N105" i="3"/>
  <c r="H106" i="3"/>
  <c r="I106" i="3"/>
  <c r="J106" i="3"/>
  <c r="K106" i="3"/>
  <c r="L106" i="3"/>
  <c r="N106" i="3"/>
  <c r="D107" i="3"/>
  <c r="N195" i="3" s="1"/>
  <c r="G107" i="3"/>
  <c r="H107" i="3"/>
  <c r="I107" i="3"/>
  <c r="J107" i="3"/>
  <c r="L107" i="3"/>
  <c r="N107" i="3"/>
  <c r="H108" i="3"/>
  <c r="I108" i="3"/>
  <c r="J108" i="3"/>
  <c r="K108" i="3"/>
  <c r="L108" i="3"/>
  <c r="N108" i="3"/>
  <c r="H109" i="3"/>
  <c r="I109" i="3"/>
  <c r="J109" i="3"/>
  <c r="K109" i="3"/>
  <c r="L109" i="3"/>
  <c r="N109" i="3"/>
  <c r="C110" i="3" a="1"/>
  <c r="C110" i="3" s="1"/>
  <c r="H110" i="3"/>
  <c r="I110" i="3"/>
  <c r="J110" i="3"/>
  <c r="L110" i="3"/>
  <c r="H111" i="3"/>
  <c r="I111" i="3"/>
  <c r="J111" i="3"/>
  <c r="K111" i="3"/>
  <c r="M111" i="3" s="1"/>
  <c r="L111" i="3"/>
  <c r="N111" i="3"/>
  <c r="H112" i="3"/>
  <c r="I112" i="3"/>
  <c r="J112" i="3"/>
  <c r="K112" i="3"/>
  <c r="L112" i="3"/>
  <c r="M112" i="3" s="1"/>
  <c r="N112" i="3"/>
  <c r="D113" i="3"/>
  <c r="N17" i="3" s="1"/>
  <c r="H113" i="3"/>
  <c r="I113" i="3"/>
  <c r="J113" i="3"/>
  <c r="L113" i="3"/>
  <c r="N113" i="3"/>
  <c r="H114" i="3"/>
  <c r="I114" i="3"/>
  <c r="J114" i="3"/>
  <c r="K114" i="3"/>
  <c r="L114" i="3"/>
  <c r="N114" i="3"/>
  <c r="G115" i="3"/>
  <c r="K115" i="3" s="1"/>
  <c r="H115" i="3"/>
  <c r="I115" i="3"/>
  <c r="J115" i="3"/>
  <c r="L115" i="3"/>
  <c r="N115" i="3"/>
  <c r="B116" i="3"/>
  <c r="H116" i="3" s="1"/>
  <c r="D116" i="3"/>
  <c r="I116" i="3"/>
  <c r="L116" i="3"/>
  <c r="N116" i="3"/>
  <c r="H117" i="3"/>
  <c r="I117" i="3"/>
  <c r="J117" i="3"/>
  <c r="K117" i="3"/>
  <c r="L117" i="3"/>
  <c r="M117" i="3" s="1"/>
  <c r="N117" i="3"/>
  <c r="C118" i="3" a="1"/>
  <c r="C118" i="3"/>
  <c r="K118" i="3" s="1"/>
  <c r="M118" i="3" s="1"/>
  <c r="H118" i="3"/>
  <c r="I118" i="3"/>
  <c r="J118" i="3"/>
  <c r="L118" i="3"/>
  <c r="H119" i="3"/>
  <c r="I119" i="3"/>
  <c r="J119" i="3"/>
  <c r="K119" i="3"/>
  <c r="L119" i="3"/>
  <c r="M119" i="3"/>
  <c r="H120" i="3"/>
  <c r="I120" i="3"/>
  <c r="J120" i="3"/>
  <c r="K120" i="3"/>
  <c r="L120" i="3"/>
  <c r="N120" i="3"/>
  <c r="H121" i="3"/>
  <c r="I121" i="3"/>
  <c r="J121" i="3"/>
  <c r="K121" i="3"/>
  <c r="M121" i="3" s="1"/>
  <c r="L121" i="3"/>
  <c r="N121" i="3"/>
  <c r="H122" i="3"/>
  <c r="I122" i="3"/>
  <c r="J122" i="3"/>
  <c r="K122" i="3"/>
  <c r="L122" i="3"/>
  <c r="N122" i="3"/>
  <c r="H123" i="3"/>
  <c r="I123" i="3"/>
  <c r="J123" i="3"/>
  <c r="K123" i="3"/>
  <c r="L123" i="3"/>
  <c r="N123" i="3"/>
  <c r="C124" i="3" a="1"/>
  <c r="C124" i="3" s="1"/>
  <c r="H124" i="3"/>
  <c r="I124" i="3"/>
  <c r="J124" i="3"/>
  <c r="L124" i="3"/>
  <c r="N124" i="3"/>
  <c r="H125" i="3"/>
  <c r="I125" i="3"/>
  <c r="J125" i="3"/>
  <c r="K125" i="3"/>
  <c r="M125" i="3" s="1"/>
  <c r="L125" i="3"/>
  <c r="N125" i="3"/>
  <c r="H126" i="3"/>
  <c r="I126" i="3"/>
  <c r="J126" i="3"/>
  <c r="K126" i="3"/>
  <c r="L126" i="3"/>
  <c r="N126" i="3"/>
  <c r="F127" i="3" a="1"/>
  <c r="F127" i="3" s="1"/>
  <c r="K127" i="3" s="1"/>
  <c r="M127" i="3" s="1"/>
  <c r="H127" i="3"/>
  <c r="I127" i="3"/>
  <c r="J127" i="3"/>
  <c r="L127" i="3"/>
  <c r="N127" i="3"/>
  <c r="H128" i="3"/>
  <c r="I128" i="3"/>
  <c r="J128" i="3"/>
  <c r="K128" i="3"/>
  <c r="M128" i="3" s="1"/>
  <c r="L128" i="3"/>
  <c r="N128" i="3"/>
  <c r="H129" i="3"/>
  <c r="I129" i="3"/>
  <c r="J129" i="3"/>
  <c r="K129" i="3"/>
  <c r="L129" i="3"/>
  <c r="N129" i="3"/>
  <c r="H130" i="3"/>
  <c r="I130" i="3"/>
  <c r="J130" i="3"/>
  <c r="K130" i="3"/>
  <c r="M130" i="3" s="1"/>
  <c r="L130" i="3"/>
  <c r="N130" i="3"/>
  <c r="D131" i="3"/>
  <c r="N36" i="3" s="1"/>
  <c r="H131" i="3"/>
  <c r="I131" i="3"/>
  <c r="J131" i="3"/>
  <c r="L131" i="3"/>
  <c r="N131" i="3"/>
  <c r="D132" i="3"/>
  <c r="K132" i="3" s="1"/>
  <c r="H132" i="3"/>
  <c r="I132" i="3"/>
  <c r="J132" i="3"/>
  <c r="L132" i="3"/>
  <c r="N132" i="3"/>
  <c r="H133" i="3"/>
  <c r="I133" i="3"/>
  <c r="J133" i="3"/>
  <c r="K133" i="3"/>
  <c r="M133" i="3" s="1"/>
  <c r="L133" i="3"/>
  <c r="N133" i="3"/>
  <c r="D134" i="3"/>
  <c r="N119" i="3" s="1"/>
  <c r="H134" i="3"/>
  <c r="I134" i="3"/>
  <c r="J134" i="3"/>
  <c r="L134" i="3"/>
  <c r="N134" i="3"/>
  <c r="B135" i="3"/>
  <c r="I135" i="3" s="1"/>
  <c r="H135" i="3"/>
  <c r="L135" i="3"/>
  <c r="N135" i="3"/>
  <c r="H136" i="3"/>
  <c r="I136" i="3"/>
  <c r="J136" i="3"/>
  <c r="K136" i="3"/>
  <c r="L136" i="3"/>
  <c r="M136" i="3" s="1"/>
  <c r="N136" i="3"/>
  <c r="H137" i="3"/>
  <c r="I137" i="3"/>
  <c r="J137" i="3"/>
  <c r="K137" i="3"/>
  <c r="M137" i="3" s="1"/>
  <c r="L137" i="3"/>
  <c r="N137" i="3"/>
  <c r="H138" i="3"/>
  <c r="I138" i="3"/>
  <c r="J138" i="3"/>
  <c r="K138" i="3"/>
  <c r="L138" i="3"/>
  <c r="N138" i="3"/>
  <c r="H139" i="3"/>
  <c r="I139" i="3"/>
  <c r="J139" i="3"/>
  <c r="K139" i="3"/>
  <c r="L139" i="3"/>
  <c r="M139" i="3" s="1"/>
  <c r="N139" i="3"/>
  <c r="H140" i="3"/>
  <c r="I140" i="3"/>
  <c r="J140" i="3"/>
  <c r="K140" i="3"/>
  <c r="L140" i="3"/>
  <c r="N140" i="3"/>
  <c r="F141" i="3" a="1"/>
  <c r="F141" i="3"/>
  <c r="K141" i="3" s="1"/>
  <c r="M141" i="3" s="1"/>
  <c r="H141" i="3"/>
  <c r="I141" i="3"/>
  <c r="J141" i="3"/>
  <c r="L141" i="3"/>
  <c r="N141" i="3"/>
  <c r="G142" i="3"/>
  <c r="K142" i="3" s="1"/>
  <c r="H142" i="3"/>
  <c r="I142" i="3"/>
  <c r="J142" i="3"/>
  <c r="L142" i="3"/>
  <c r="N142" i="3"/>
  <c r="H143" i="3"/>
  <c r="I143" i="3"/>
  <c r="J143" i="3"/>
  <c r="K143" i="3"/>
  <c r="L143" i="3"/>
  <c r="N143" i="3"/>
  <c r="B144" i="3"/>
  <c r="H144" i="3" s="1"/>
  <c r="J144" i="3"/>
  <c r="L144" i="3"/>
  <c r="H145" i="3"/>
  <c r="I145" i="3"/>
  <c r="J145" i="3"/>
  <c r="K145" i="3"/>
  <c r="M145" i="3" s="1"/>
  <c r="L145" i="3"/>
  <c r="N145" i="3"/>
  <c r="G146" i="3"/>
  <c r="H146" i="3"/>
  <c r="I146" i="3"/>
  <c r="J146" i="3"/>
  <c r="K146" i="3"/>
  <c r="M146" i="3" s="1"/>
  <c r="L146" i="3"/>
  <c r="N146" i="3"/>
  <c r="H147" i="3"/>
  <c r="I147" i="3"/>
  <c r="J147" i="3"/>
  <c r="K147" i="3"/>
  <c r="M147" i="3" s="1"/>
  <c r="L147" i="3"/>
  <c r="N147" i="3"/>
  <c r="H148" i="3"/>
  <c r="I148" i="3"/>
  <c r="J148" i="3"/>
  <c r="K148" i="3"/>
  <c r="L148" i="3"/>
  <c r="N148" i="3"/>
  <c r="H149" i="3"/>
  <c r="I149" i="3"/>
  <c r="J149" i="3"/>
  <c r="K149" i="3"/>
  <c r="L149" i="3"/>
  <c r="N149" i="3"/>
  <c r="G150" i="3"/>
  <c r="K150" i="3" s="1"/>
  <c r="H150" i="3"/>
  <c r="I150" i="3"/>
  <c r="J150" i="3"/>
  <c r="L150" i="3"/>
  <c r="N150" i="3"/>
  <c r="H151" i="3"/>
  <c r="I151" i="3"/>
  <c r="J151" i="3"/>
  <c r="K151" i="3"/>
  <c r="L151" i="3"/>
  <c r="N151" i="3"/>
  <c r="H152" i="3"/>
  <c r="I152" i="3"/>
  <c r="J152" i="3"/>
  <c r="K152" i="3"/>
  <c r="L152" i="3"/>
  <c r="N152" i="3"/>
  <c r="G153" i="3"/>
  <c r="K153" i="3" s="1"/>
  <c r="M153" i="3" s="1"/>
  <c r="H153" i="3"/>
  <c r="I153" i="3"/>
  <c r="J153" i="3"/>
  <c r="L153" i="3"/>
  <c r="N153" i="3"/>
  <c r="H154" i="3"/>
  <c r="I154" i="3"/>
  <c r="J154" i="3"/>
  <c r="K154" i="3"/>
  <c r="L154" i="3"/>
  <c r="N154" i="3"/>
  <c r="H155" i="3"/>
  <c r="I155" i="3"/>
  <c r="J155" i="3"/>
  <c r="K155" i="3"/>
  <c r="L155" i="3"/>
  <c r="N155" i="3"/>
  <c r="H156" i="3"/>
  <c r="I156" i="3"/>
  <c r="J156" i="3"/>
  <c r="K156" i="3"/>
  <c r="L156" i="3"/>
  <c r="N156" i="3"/>
  <c r="H157" i="3"/>
  <c r="I157" i="3"/>
  <c r="J157" i="3"/>
  <c r="K157" i="3"/>
  <c r="M157" i="3" s="1"/>
  <c r="L157" i="3"/>
  <c r="N157" i="3"/>
  <c r="H158" i="3"/>
  <c r="I158" i="3"/>
  <c r="J158" i="3"/>
  <c r="K158" i="3"/>
  <c r="M158" i="3" s="1"/>
  <c r="L158" i="3"/>
  <c r="N158" i="3"/>
  <c r="H159" i="3"/>
  <c r="I159" i="3"/>
  <c r="J159" i="3"/>
  <c r="K159" i="3"/>
  <c r="L159" i="3"/>
  <c r="N159" i="3"/>
  <c r="H160" i="3"/>
  <c r="I160" i="3"/>
  <c r="J160" i="3"/>
  <c r="K160" i="3"/>
  <c r="M160" i="3" s="1"/>
  <c r="L160" i="3"/>
  <c r="N160" i="3"/>
  <c r="H161" i="3"/>
  <c r="I161" i="3"/>
  <c r="J161" i="3"/>
  <c r="K161" i="3"/>
  <c r="L161" i="3"/>
  <c r="N161" i="3"/>
  <c r="F162" i="3" a="1"/>
  <c r="F162" i="3" s="1"/>
  <c r="K162" i="3" s="1"/>
  <c r="H162" i="3"/>
  <c r="I162" i="3"/>
  <c r="J162" i="3"/>
  <c r="L162" i="3"/>
  <c r="N162" i="3"/>
  <c r="H163" i="3"/>
  <c r="I163" i="3"/>
  <c r="J163" i="3"/>
  <c r="K163" i="3"/>
  <c r="M163" i="3" s="1"/>
  <c r="L163" i="3"/>
  <c r="N163" i="3"/>
  <c r="B164" i="3"/>
  <c r="J164" i="3" s="1"/>
  <c r="L164" i="3"/>
  <c r="N164" i="3"/>
  <c r="H165" i="3"/>
  <c r="I165" i="3"/>
  <c r="J165" i="3"/>
  <c r="K165" i="3"/>
  <c r="M165" i="3" s="1"/>
  <c r="L165" i="3"/>
  <c r="N165" i="3"/>
  <c r="H166" i="3"/>
  <c r="I166" i="3"/>
  <c r="J166" i="3"/>
  <c r="K166" i="3"/>
  <c r="L166" i="3"/>
  <c r="N166" i="3"/>
  <c r="H167" i="3"/>
  <c r="I167" i="3"/>
  <c r="J167" i="3"/>
  <c r="K167" i="3"/>
  <c r="L167" i="3"/>
  <c r="N167" i="3"/>
  <c r="H168" i="3"/>
  <c r="I168" i="3"/>
  <c r="J168" i="3"/>
  <c r="K168" i="3"/>
  <c r="M168" i="3" s="1"/>
  <c r="L168" i="3"/>
  <c r="N168" i="3"/>
  <c r="H169" i="3"/>
  <c r="I169" i="3"/>
  <c r="J169" i="3"/>
  <c r="K169" i="3"/>
  <c r="L169" i="3"/>
  <c r="M169" i="3" s="1"/>
  <c r="N169" i="3"/>
  <c r="H170" i="3"/>
  <c r="I170" i="3"/>
  <c r="J170" i="3"/>
  <c r="K170" i="3"/>
  <c r="L170" i="3"/>
  <c r="N170" i="3"/>
  <c r="G171" i="3"/>
  <c r="K171" i="3" s="1"/>
  <c r="H171" i="3"/>
  <c r="I171" i="3"/>
  <c r="J171" i="3"/>
  <c r="L171" i="3"/>
  <c r="N171" i="3"/>
  <c r="H172" i="3"/>
  <c r="I172" i="3"/>
  <c r="J172" i="3"/>
  <c r="K172" i="3"/>
  <c r="L172" i="3"/>
  <c r="N172" i="3"/>
  <c r="D173" i="3"/>
  <c r="K173" i="3" s="1"/>
  <c r="H173" i="3"/>
  <c r="I173" i="3"/>
  <c r="J173" i="3"/>
  <c r="L173" i="3"/>
  <c r="N173" i="3"/>
  <c r="H174" i="3"/>
  <c r="I174" i="3"/>
  <c r="J174" i="3"/>
  <c r="K174" i="3"/>
  <c r="L174" i="3"/>
  <c r="N174" i="3"/>
  <c r="G175" i="3"/>
  <c r="K175" i="3" s="1"/>
  <c r="M175" i="3" s="1"/>
  <c r="H175" i="3"/>
  <c r="I175" i="3"/>
  <c r="J175" i="3"/>
  <c r="L175" i="3"/>
  <c r="N175" i="3"/>
  <c r="H176" i="3"/>
  <c r="I176" i="3"/>
  <c r="J176" i="3"/>
  <c r="K176" i="3"/>
  <c r="L176" i="3"/>
  <c r="M176" i="3"/>
  <c r="N176" i="3"/>
  <c r="B177" i="3"/>
  <c r="K177" i="3" s="1"/>
  <c r="L177" i="3"/>
  <c r="N177" i="3"/>
  <c r="H178" i="3"/>
  <c r="I178" i="3"/>
  <c r="J178" i="3"/>
  <c r="K178" i="3"/>
  <c r="L178" i="3"/>
  <c r="N178" i="3"/>
  <c r="C179" i="3" a="1"/>
  <c r="C179" i="3" s="1"/>
  <c r="H179" i="3"/>
  <c r="I179" i="3"/>
  <c r="J179" i="3"/>
  <c r="L179" i="3"/>
  <c r="N179" i="3"/>
  <c r="H180" i="3"/>
  <c r="I180" i="3"/>
  <c r="J180" i="3"/>
  <c r="K180" i="3"/>
  <c r="L180" i="3"/>
  <c r="N180" i="3"/>
  <c r="H181" i="3"/>
  <c r="I181" i="3"/>
  <c r="J181" i="3"/>
  <c r="K181" i="3"/>
  <c r="L181" i="3"/>
  <c r="N181" i="3"/>
  <c r="H182" i="3"/>
  <c r="I182" i="3"/>
  <c r="J182" i="3"/>
  <c r="K182" i="3"/>
  <c r="M182" i="3" s="1"/>
  <c r="L182" i="3"/>
  <c r="N182" i="3"/>
  <c r="H183" i="3"/>
  <c r="I183" i="3"/>
  <c r="J183" i="3"/>
  <c r="K183" i="3"/>
  <c r="L183" i="3"/>
  <c r="M183" i="3" s="1"/>
  <c r="N183" i="3"/>
  <c r="C184" i="3" a="1"/>
  <c r="C184" i="3" s="1"/>
  <c r="H184" i="3"/>
  <c r="I184" i="3"/>
  <c r="J184" i="3"/>
  <c r="L184" i="3"/>
  <c r="N184" i="3"/>
  <c r="H185" i="3"/>
  <c r="I185" i="3"/>
  <c r="J185" i="3"/>
  <c r="K185" i="3"/>
  <c r="L185" i="3"/>
  <c r="N185" i="3"/>
  <c r="H186" i="3"/>
  <c r="I186" i="3"/>
  <c r="J186" i="3"/>
  <c r="K186" i="3"/>
  <c r="L186" i="3"/>
  <c r="N186" i="3"/>
  <c r="G187" i="3"/>
  <c r="K187" i="3" s="1"/>
  <c r="H187" i="3"/>
  <c r="I187" i="3"/>
  <c r="J187" i="3"/>
  <c r="L187" i="3"/>
  <c r="N187" i="3"/>
  <c r="H188" i="3"/>
  <c r="I188" i="3"/>
  <c r="J188" i="3"/>
  <c r="K188" i="3"/>
  <c r="L188" i="3"/>
  <c r="N188" i="3"/>
  <c r="H189" i="3"/>
  <c r="I189" i="3"/>
  <c r="J189" i="3"/>
  <c r="K189" i="3"/>
  <c r="L189" i="3"/>
  <c r="N189" i="3"/>
  <c r="H190" i="3"/>
  <c r="I190" i="3"/>
  <c r="J190" i="3"/>
  <c r="K190" i="3"/>
  <c r="L190" i="3"/>
  <c r="D191" i="3"/>
  <c r="K191" i="3" s="1"/>
  <c r="M191" i="3" s="1"/>
  <c r="H191" i="3"/>
  <c r="I191" i="3"/>
  <c r="J191" i="3"/>
  <c r="L191" i="3"/>
  <c r="N191" i="3"/>
  <c r="H192" i="3"/>
  <c r="I192" i="3"/>
  <c r="J192" i="3"/>
  <c r="K192" i="3"/>
  <c r="L192" i="3"/>
  <c r="N192" i="3"/>
  <c r="G193" i="3"/>
  <c r="H193" i="3"/>
  <c r="I193" i="3"/>
  <c r="J193" i="3"/>
  <c r="K193" i="3"/>
  <c r="M193" i="3" s="1"/>
  <c r="L193" i="3"/>
  <c r="N193" i="3"/>
  <c r="F194" i="3" a="1"/>
  <c r="F194" i="3" s="1"/>
  <c r="K194" i="3" s="1"/>
  <c r="M194" i="3" s="1"/>
  <c r="G194" i="3"/>
  <c r="H194" i="3"/>
  <c r="I194" i="3"/>
  <c r="J194" i="3"/>
  <c r="L194" i="3"/>
  <c r="N194" i="3"/>
  <c r="G195" i="3"/>
  <c r="K195" i="3" s="1"/>
  <c r="H195" i="3"/>
  <c r="I195" i="3"/>
  <c r="J195" i="3"/>
  <c r="L195" i="3"/>
  <c r="H196" i="3"/>
  <c r="I196" i="3"/>
  <c r="J196" i="3"/>
  <c r="K196" i="3"/>
  <c r="L196" i="3"/>
  <c r="N196" i="3"/>
  <c r="H197" i="3"/>
  <c r="I197" i="3"/>
  <c r="J197" i="3"/>
  <c r="K197" i="3"/>
  <c r="L197" i="3"/>
  <c r="N197" i="3"/>
  <c r="D198" i="3"/>
  <c r="N89" i="3" s="1"/>
  <c r="H198" i="3"/>
  <c r="I198" i="3"/>
  <c r="J198" i="3"/>
  <c r="K198" i="3"/>
  <c r="M198" i="3" s="1"/>
  <c r="L198" i="3"/>
  <c r="N198" i="3"/>
  <c r="H199" i="3"/>
  <c r="I199" i="3"/>
  <c r="J199" i="3"/>
  <c r="K199" i="3"/>
  <c r="M199" i="3" s="1"/>
  <c r="L199" i="3"/>
  <c r="N199" i="3"/>
  <c r="H200" i="3"/>
  <c r="I200" i="3"/>
  <c r="J200" i="3"/>
  <c r="K200" i="3"/>
  <c r="L200" i="3"/>
  <c r="N200" i="3"/>
  <c r="H201" i="3"/>
  <c r="I201" i="3"/>
  <c r="J201" i="3"/>
  <c r="K201" i="3"/>
  <c r="L201" i="3"/>
  <c r="M201" i="3" s="1"/>
  <c r="N201" i="3"/>
  <c r="H202" i="3"/>
  <c r="I202" i="3"/>
  <c r="J202" i="3"/>
  <c r="K202" i="3"/>
  <c r="L202" i="3"/>
  <c r="M202" i="3" s="1"/>
  <c r="N202" i="3"/>
  <c r="H203" i="3"/>
  <c r="I203" i="3"/>
  <c r="J203" i="3"/>
  <c r="K203" i="3"/>
  <c r="L203" i="3"/>
  <c r="N203" i="3"/>
  <c r="H204" i="3"/>
  <c r="I204" i="3"/>
  <c r="J204" i="3"/>
  <c r="K204" i="3"/>
  <c r="L204" i="3"/>
  <c r="N204" i="3"/>
  <c r="H205" i="3"/>
  <c r="I205" i="3"/>
  <c r="J205" i="3"/>
  <c r="K205" i="3"/>
  <c r="M205" i="3" s="1"/>
  <c r="L205" i="3"/>
  <c r="H206" i="3"/>
  <c r="I206" i="3"/>
  <c r="J206" i="3"/>
  <c r="K206" i="3"/>
  <c r="L206" i="3"/>
  <c r="N206" i="3"/>
  <c r="H207" i="3"/>
  <c r="I207" i="3"/>
  <c r="J207" i="3"/>
  <c r="K207" i="3"/>
  <c r="L207" i="3"/>
  <c r="N207" i="3"/>
  <c r="H208" i="3"/>
  <c r="I208" i="3"/>
  <c r="J208" i="3"/>
  <c r="K208" i="3"/>
  <c r="L208" i="3"/>
  <c r="N208" i="3"/>
  <c r="F209" i="3" a="1"/>
  <c r="F209" i="3" s="1"/>
  <c r="G209" i="3"/>
  <c r="H209" i="3"/>
  <c r="I209" i="3"/>
  <c r="J209" i="3"/>
  <c r="L209" i="3"/>
  <c r="N209" i="3"/>
  <c r="H210" i="3"/>
  <c r="I210" i="3"/>
  <c r="J210" i="3"/>
  <c r="K210" i="3"/>
  <c r="L210" i="3"/>
  <c r="N210" i="3"/>
  <c r="F211" i="3" a="1"/>
  <c r="F211" i="3" s="1"/>
  <c r="H211" i="3"/>
  <c r="I211" i="3"/>
  <c r="J211" i="3"/>
  <c r="L211" i="3"/>
  <c r="N211" i="3"/>
  <c r="H212" i="3"/>
  <c r="I212" i="3"/>
  <c r="J212" i="3"/>
  <c r="K212" i="3"/>
  <c r="L212" i="3"/>
  <c r="N212" i="3"/>
  <c r="H213" i="3"/>
  <c r="I213" i="3"/>
  <c r="J213" i="3"/>
  <c r="K213" i="3"/>
  <c r="M213" i="3" s="1"/>
  <c r="L213" i="3"/>
  <c r="N213" i="3"/>
  <c r="H214" i="3"/>
  <c r="I214" i="3"/>
  <c r="J214" i="3"/>
  <c r="K214" i="3"/>
  <c r="L214" i="3"/>
  <c r="M214" i="3" s="1"/>
  <c r="N214" i="3"/>
  <c r="C215" i="3" a="1"/>
  <c r="C215" i="3" s="1"/>
  <c r="K215" i="3" s="1"/>
  <c r="H215" i="3"/>
  <c r="I215" i="3"/>
  <c r="J215" i="3"/>
  <c r="L215" i="3"/>
  <c r="N215" i="3"/>
  <c r="H216" i="3"/>
  <c r="I216" i="3"/>
  <c r="J216" i="3"/>
  <c r="K216" i="3"/>
  <c r="M216" i="3" s="1"/>
  <c r="L216" i="3"/>
  <c r="N216" i="3"/>
  <c r="H217" i="3"/>
  <c r="I217" i="3"/>
  <c r="J217" i="3"/>
  <c r="K217" i="3"/>
  <c r="L217" i="3"/>
  <c r="N217" i="3"/>
  <c r="H218" i="3"/>
  <c r="I218" i="3"/>
  <c r="J218" i="3"/>
  <c r="K218" i="3"/>
  <c r="L218" i="3"/>
  <c r="M218" i="3" s="1"/>
  <c r="N218" i="3"/>
  <c r="H219" i="3"/>
  <c r="I219" i="3"/>
  <c r="J219" i="3"/>
  <c r="K219" i="3"/>
  <c r="L219" i="3"/>
  <c r="N219" i="3"/>
  <c r="G220" i="3"/>
  <c r="K220" i="3" s="1"/>
  <c r="M220" i="3" s="1"/>
  <c r="H220" i="3"/>
  <c r="I220" i="3"/>
  <c r="J220" i="3"/>
  <c r="L220" i="3"/>
  <c r="N220" i="3"/>
  <c r="H221" i="3"/>
  <c r="I221" i="3"/>
  <c r="J221" i="3"/>
  <c r="K221" i="3"/>
  <c r="M221" i="3" s="1"/>
  <c r="L221" i="3"/>
  <c r="N221" i="3"/>
  <c r="C222" i="3" a="1"/>
  <c r="C222" i="3" s="1"/>
  <c r="H222" i="3"/>
  <c r="I222" i="3"/>
  <c r="J222" i="3"/>
  <c r="L222" i="3"/>
  <c r="N222" i="3"/>
  <c r="F223" i="3" a="1"/>
  <c r="F223" i="3" s="1"/>
  <c r="K223" i="3" s="1"/>
  <c r="H223" i="3"/>
  <c r="I223" i="3"/>
  <c r="J223" i="3"/>
  <c r="L223" i="3"/>
  <c r="N223" i="3"/>
  <c r="H224" i="3"/>
  <c r="I224" i="3"/>
  <c r="J224" i="3"/>
  <c r="K224" i="3"/>
  <c r="L224" i="3"/>
  <c r="N224" i="3"/>
  <c r="H225" i="3"/>
  <c r="I225" i="3"/>
  <c r="J225" i="3"/>
  <c r="K225" i="3"/>
  <c r="M225" i="3" s="1"/>
  <c r="L225" i="3"/>
  <c r="N225" i="3"/>
  <c r="H226" i="3"/>
  <c r="I226" i="3"/>
  <c r="J226" i="3"/>
  <c r="K226" i="3"/>
  <c r="L226" i="3"/>
  <c r="N226" i="3"/>
  <c r="H227" i="3"/>
  <c r="I227" i="3"/>
  <c r="J227" i="3"/>
  <c r="K227" i="3"/>
  <c r="L227" i="3"/>
  <c r="N227" i="3"/>
  <c r="H228" i="3"/>
  <c r="I228" i="3"/>
  <c r="J228" i="3"/>
  <c r="K228" i="3"/>
  <c r="M228" i="3" s="1"/>
  <c r="L228" i="3"/>
  <c r="N228" i="3"/>
  <c r="H229" i="3"/>
  <c r="I229" i="3"/>
  <c r="J229" i="3"/>
  <c r="L229" i="3"/>
  <c r="N229" i="3"/>
  <c r="H230" i="3"/>
  <c r="I230" i="3"/>
  <c r="J230" i="3"/>
  <c r="K230" i="3"/>
  <c r="L230" i="3"/>
  <c r="H231" i="3"/>
  <c r="I231" i="3"/>
  <c r="J231" i="3"/>
  <c r="K231" i="3"/>
  <c r="M231" i="3" s="1"/>
  <c r="L231" i="3"/>
  <c r="N231" i="3"/>
  <c r="C232" i="3" a="1"/>
  <c r="C232" i="3" s="1"/>
  <c r="N110" i="3" s="1"/>
  <c r="H232" i="3"/>
  <c r="I232" i="3"/>
  <c r="J232" i="3"/>
  <c r="L232" i="3"/>
  <c r="N232" i="3"/>
  <c r="H233" i="3"/>
  <c r="I233" i="3"/>
  <c r="J233" i="3"/>
  <c r="K233" i="3"/>
  <c r="M233" i="3" s="1"/>
  <c r="L233" i="3"/>
  <c r="N233" i="3"/>
  <c r="H234" i="3"/>
  <c r="I234" i="3"/>
  <c r="J234" i="3"/>
  <c r="K234" i="3"/>
  <c r="L234" i="3"/>
  <c r="N234" i="3"/>
  <c r="H235" i="3"/>
  <c r="I235" i="3"/>
  <c r="J235" i="3"/>
  <c r="K235" i="3"/>
  <c r="L235" i="3"/>
  <c r="N235" i="3"/>
  <c r="C236" i="3" a="1"/>
  <c r="C236" i="3"/>
  <c r="N190" i="3" s="1"/>
  <c r="H236" i="3"/>
  <c r="I236" i="3"/>
  <c r="J236" i="3"/>
  <c r="L236" i="3"/>
  <c r="H237" i="3"/>
  <c r="I237" i="3"/>
  <c r="J237" i="3"/>
  <c r="K237" i="3"/>
  <c r="M237" i="3" s="1"/>
  <c r="L237" i="3"/>
  <c r="N237" i="3"/>
  <c r="H238" i="3"/>
  <c r="I238" i="3"/>
  <c r="J238" i="3"/>
  <c r="K238" i="3"/>
  <c r="L238" i="3"/>
  <c r="N238" i="3"/>
  <c r="H239" i="3"/>
  <c r="I239" i="3"/>
  <c r="J239" i="3"/>
  <c r="K239" i="3"/>
  <c r="L239" i="3"/>
  <c r="M239" i="3" s="1"/>
  <c r="N239" i="3"/>
  <c r="H240" i="3"/>
  <c r="I240" i="3"/>
  <c r="J240" i="3"/>
  <c r="K240" i="3"/>
  <c r="L240" i="3"/>
  <c r="N240" i="3"/>
  <c r="G241" i="3"/>
  <c r="K241" i="3" s="1"/>
  <c r="H241" i="3"/>
  <c r="I241" i="3"/>
  <c r="J241" i="3"/>
  <c r="L241" i="3"/>
  <c r="N241" i="3"/>
  <c r="B242" i="3"/>
  <c r="I242" i="3" s="1"/>
  <c r="H242" i="3"/>
  <c r="J242" i="3"/>
  <c r="K242" i="3"/>
  <c r="M242" i="3" s="1"/>
  <c r="L242" i="3"/>
  <c r="N242" i="3"/>
  <c r="G243" i="3"/>
  <c r="K243" i="3" s="1"/>
  <c r="M243" i="3" s="1"/>
  <c r="H243" i="3"/>
  <c r="I243" i="3"/>
  <c r="J243" i="3"/>
  <c r="L243" i="3"/>
  <c r="N243" i="3"/>
  <c r="H244" i="3"/>
  <c r="I244" i="3"/>
  <c r="J244" i="3"/>
  <c r="K244" i="3"/>
  <c r="L244" i="3"/>
  <c r="N244" i="3"/>
  <c r="H245" i="3"/>
  <c r="I245" i="3"/>
  <c r="J245" i="3"/>
  <c r="K245" i="3"/>
  <c r="L245" i="3"/>
  <c r="M245" i="3" s="1"/>
  <c r="N245" i="3"/>
  <c r="H246" i="3"/>
  <c r="I246" i="3"/>
  <c r="J246" i="3"/>
  <c r="K246" i="3"/>
  <c r="L246" i="3"/>
  <c r="N246" i="3"/>
  <c r="B247" i="3"/>
  <c r="J247" i="3" s="1"/>
  <c r="H247" i="3"/>
  <c r="I247" i="3"/>
  <c r="K247" i="3"/>
  <c r="M247" i="3" s="1"/>
  <c r="L247" i="3"/>
  <c r="N247" i="3"/>
  <c r="H248" i="3"/>
  <c r="I248" i="3"/>
  <c r="J248" i="3"/>
  <c r="K248" i="3"/>
  <c r="L248" i="3"/>
  <c r="N248" i="3"/>
  <c r="H249" i="3"/>
  <c r="I249" i="3"/>
  <c r="J249" i="3"/>
  <c r="K249" i="3"/>
  <c r="L249" i="3"/>
  <c r="M249" i="3"/>
  <c r="N249" i="3"/>
  <c r="H250" i="3"/>
  <c r="I250" i="3"/>
  <c r="J250" i="3"/>
  <c r="K250" i="3"/>
  <c r="M250" i="3" s="1"/>
  <c r="L250" i="3"/>
  <c r="N250" i="3"/>
  <c r="H251" i="3"/>
  <c r="I251" i="3"/>
  <c r="J251" i="3"/>
  <c r="K251" i="3"/>
  <c r="L251" i="3"/>
  <c r="N251" i="3"/>
  <c r="H252" i="3"/>
  <c r="I252" i="3"/>
  <c r="J252" i="3"/>
  <c r="K252" i="3"/>
  <c r="L252" i="3"/>
  <c r="N252" i="3"/>
  <c r="B253" i="3"/>
  <c r="I253" i="3" s="1"/>
  <c r="H253" i="3"/>
  <c r="L253" i="3"/>
  <c r="N253" i="3"/>
  <c r="F254" i="3" a="1"/>
  <c r="F254" i="3" s="1"/>
  <c r="K254" i="3" s="1"/>
  <c r="H254" i="3"/>
  <c r="I254" i="3"/>
  <c r="J254" i="3"/>
  <c r="L254" i="3"/>
  <c r="N254" i="3"/>
  <c r="H255" i="3"/>
  <c r="I255" i="3"/>
  <c r="J255" i="3"/>
  <c r="K255" i="3"/>
  <c r="M255" i="3" s="1"/>
  <c r="L255" i="3"/>
  <c r="N255" i="3"/>
  <c r="H256" i="3"/>
  <c r="I256" i="3"/>
  <c r="J256" i="3"/>
  <c r="K256" i="3"/>
  <c r="M256" i="3" s="1"/>
  <c r="L256" i="3"/>
  <c r="N256" i="3"/>
  <c r="H257" i="3"/>
  <c r="I257" i="3"/>
  <c r="J257" i="3"/>
  <c r="K257" i="3"/>
  <c r="L257" i="3"/>
  <c r="M257" i="3"/>
  <c r="N257" i="3"/>
  <c r="B258" i="3"/>
  <c r="H258" i="3" s="1"/>
  <c r="L258" i="3"/>
  <c r="N258" i="3"/>
  <c r="H259" i="3"/>
  <c r="I259" i="3"/>
  <c r="J259" i="3"/>
  <c r="K259" i="3"/>
  <c r="M259" i="3" s="1"/>
  <c r="L259" i="3"/>
  <c r="N259" i="3"/>
  <c r="H260" i="3"/>
  <c r="I260" i="3"/>
  <c r="J260" i="3"/>
  <c r="K260" i="3"/>
  <c r="L260" i="3"/>
  <c r="M260" i="3" s="1"/>
  <c r="N260" i="3"/>
  <c r="H261" i="3"/>
  <c r="I261" i="3"/>
  <c r="J261" i="3"/>
  <c r="K261" i="3"/>
  <c r="M261" i="3" s="1"/>
  <c r="L261" i="3"/>
  <c r="N261" i="3"/>
  <c r="H262" i="3"/>
  <c r="I262" i="3"/>
  <c r="J262" i="3"/>
  <c r="K262" i="3"/>
  <c r="L262" i="3"/>
  <c r="N262" i="3"/>
  <c r="H263" i="3"/>
  <c r="I263" i="3"/>
  <c r="J263" i="3"/>
  <c r="K263" i="3"/>
  <c r="L263" i="3"/>
  <c r="N263" i="3"/>
  <c r="H264" i="3"/>
  <c r="I264" i="3"/>
  <c r="J264" i="3"/>
  <c r="K264" i="3"/>
  <c r="L264" i="3"/>
  <c r="N264" i="3"/>
  <c r="H265" i="3"/>
  <c r="I265" i="3"/>
  <c r="J265" i="3"/>
  <c r="K265" i="3"/>
  <c r="M265" i="3" s="1"/>
  <c r="L265" i="3"/>
  <c r="N265" i="3"/>
  <c r="F266" i="3" a="1"/>
  <c r="F266" i="3" s="1"/>
  <c r="K266" i="3" s="1"/>
  <c r="H266" i="3"/>
  <c r="I266" i="3"/>
  <c r="J266" i="3"/>
  <c r="L266" i="3"/>
  <c r="N266" i="3"/>
  <c r="H267" i="3"/>
  <c r="I267" i="3"/>
  <c r="J267" i="3"/>
  <c r="K267" i="3"/>
  <c r="M267" i="3" s="1"/>
  <c r="L267" i="3"/>
  <c r="N267" i="3"/>
  <c r="F268" i="3" a="1"/>
  <c r="F268" i="3" s="1"/>
  <c r="K268" i="3" s="1"/>
  <c r="H268" i="3"/>
  <c r="I268" i="3"/>
  <c r="J268" i="3"/>
  <c r="L268" i="3"/>
  <c r="H269" i="3"/>
  <c r="I269" i="3"/>
  <c r="J269" i="3"/>
  <c r="K269" i="3"/>
  <c r="L269" i="3"/>
  <c r="H270" i="3"/>
  <c r="I270" i="3"/>
  <c r="J270" i="3"/>
  <c r="K270" i="3"/>
  <c r="M270" i="3" s="1"/>
  <c r="L270" i="3"/>
  <c r="H271" i="3"/>
  <c r="I271" i="3"/>
  <c r="J271" i="3"/>
  <c r="K271" i="3"/>
  <c r="L271" i="3"/>
  <c r="N271" i="3"/>
  <c r="H272" i="3"/>
  <c r="I272" i="3"/>
  <c r="J272" i="3"/>
  <c r="K272" i="3"/>
  <c r="L272" i="3"/>
  <c r="N272" i="3"/>
  <c r="H273" i="3"/>
  <c r="I273" i="3"/>
  <c r="J273" i="3"/>
  <c r="K273" i="3"/>
  <c r="L273" i="3"/>
  <c r="M273" i="3"/>
  <c r="N273" i="3"/>
  <c r="H274" i="3"/>
  <c r="I274" i="3"/>
  <c r="J274" i="3"/>
  <c r="K274" i="3"/>
  <c r="M274" i="3" s="1"/>
  <c r="L274" i="3"/>
  <c r="N274" i="3"/>
  <c r="H275" i="3"/>
  <c r="I275" i="3"/>
  <c r="J275" i="3"/>
  <c r="K275" i="3"/>
  <c r="L275" i="3"/>
  <c r="N275" i="3"/>
  <c r="H276" i="3"/>
  <c r="I276" i="3"/>
  <c r="J276" i="3"/>
  <c r="K276" i="3"/>
  <c r="L276" i="3"/>
  <c r="N276" i="3"/>
  <c r="H277" i="3"/>
  <c r="I277" i="3"/>
  <c r="J277" i="3"/>
  <c r="K277" i="3"/>
  <c r="L277" i="3"/>
  <c r="N277" i="3"/>
  <c r="H278" i="3"/>
  <c r="I278" i="3"/>
  <c r="J278" i="3"/>
  <c r="K278" i="3"/>
  <c r="M278" i="3" s="1"/>
  <c r="L278" i="3"/>
  <c r="N278" i="3"/>
  <c r="H279" i="3"/>
  <c r="I279" i="3"/>
  <c r="J279" i="3"/>
  <c r="K279" i="3"/>
  <c r="M279" i="3" s="1"/>
  <c r="L279" i="3"/>
  <c r="N279" i="3"/>
  <c r="H280" i="3"/>
  <c r="I280" i="3"/>
  <c r="J280" i="3"/>
  <c r="K280" i="3"/>
  <c r="L280" i="3"/>
  <c r="M280" i="3" s="1"/>
  <c r="N280" i="3"/>
  <c r="H281" i="3"/>
  <c r="I281" i="3"/>
  <c r="J281" i="3"/>
  <c r="K281" i="3"/>
  <c r="L281" i="3"/>
  <c r="N281" i="3"/>
  <c r="F282" i="3" a="1"/>
  <c r="F282" i="3" s="1"/>
  <c r="K282" i="3" s="1"/>
  <c r="M282" i="3" s="1"/>
  <c r="H282" i="3"/>
  <c r="I282" i="3"/>
  <c r="J282" i="3"/>
  <c r="L282" i="3"/>
  <c r="N282" i="3"/>
  <c r="H283" i="3"/>
  <c r="I283" i="3"/>
  <c r="J283" i="3"/>
  <c r="K283" i="3"/>
  <c r="M283" i="3" s="1"/>
  <c r="L283" i="3"/>
  <c r="N283" i="3"/>
  <c r="H284" i="3"/>
  <c r="I284" i="3"/>
  <c r="J284" i="3"/>
  <c r="K284" i="3"/>
  <c r="L284" i="3"/>
  <c r="N284" i="3"/>
  <c r="D285" i="3"/>
  <c r="N230" i="3" s="1"/>
  <c r="H285" i="3"/>
  <c r="I285" i="3"/>
  <c r="J285" i="3"/>
  <c r="L285" i="3"/>
  <c r="N285" i="3"/>
  <c r="H286" i="3"/>
  <c r="I286" i="3"/>
  <c r="J286" i="3"/>
  <c r="K286" i="3"/>
  <c r="L286" i="3"/>
  <c r="C287" i="3" a="1"/>
  <c r="C287" i="3" s="1"/>
  <c r="H287" i="3"/>
  <c r="I287" i="3"/>
  <c r="J287" i="3"/>
  <c r="L287" i="3"/>
  <c r="N287" i="3"/>
  <c r="H288" i="3"/>
  <c r="I288" i="3"/>
  <c r="J288" i="3"/>
  <c r="K288" i="3"/>
  <c r="L288" i="3"/>
  <c r="N288" i="3"/>
  <c r="H289" i="3"/>
  <c r="I289" i="3"/>
  <c r="J289" i="3"/>
  <c r="K289" i="3"/>
  <c r="L289" i="3"/>
  <c r="H290" i="3"/>
  <c r="I290" i="3"/>
  <c r="J290" i="3"/>
  <c r="K290" i="3"/>
  <c r="M290" i="3" s="1"/>
  <c r="L290" i="3"/>
  <c r="N290" i="3"/>
  <c r="H291" i="3"/>
  <c r="I291" i="3"/>
  <c r="J291" i="3"/>
  <c r="K291" i="3"/>
  <c r="M291" i="3" s="1"/>
  <c r="L291" i="3"/>
  <c r="N291" i="3"/>
  <c r="F292" i="3" a="1"/>
  <c r="F292" i="3" s="1"/>
  <c r="K292" i="3" s="1"/>
  <c r="H292" i="3"/>
  <c r="I292" i="3"/>
  <c r="J292" i="3"/>
  <c r="L292" i="3"/>
  <c r="N292" i="3"/>
  <c r="H293" i="3"/>
  <c r="I293" i="3"/>
  <c r="J293" i="3"/>
  <c r="K293" i="3"/>
  <c r="L293" i="3"/>
  <c r="N293" i="3"/>
  <c r="V33" i="36"/>
  <c r="V32" i="36"/>
  <c r="V31" i="36"/>
  <c r="V28" i="36"/>
  <c r="V27" i="36"/>
  <c r="V26" i="36"/>
  <c r="V25" i="36"/>
  <c r="V22" i="36"/>
  <c r="V21" i="36"/>
  <c r="V20" i="36"/>
  <c r="V18" i="36"/>
  <c r="V17" i="36"/>
  <c r="V16" i="36"/>
  <c r="V15" i="36"/>
  <c r="V14" i="36"/>
  <c r="V13" i="36"/>
  <c r="V12" i="36"/>
  <c r="O294" i="36" a="1"/>
  <c r="O294" i="36" s="1"/>
  <c r="R292" i="36" a="1"/>
  <c r="R292" i="36" s="1"/>
  <c r="O287" i="36" a="1"/>
  <c r="O287" i="36" s="1"/>
  <c r="P285" i="36"/>
  <c r="R282" i="36" a="1"/>
  <c r="R282" i="36" s="1"/>
  <c r="R268" i="36" a="1"/>
  <c r="R268" i="36" s="1"/>
  <c r="R266" i="36" a="1"/>
  <c r="R266" i="36" s="1"/>
  <c r="N258" i="36"/>
  <c r="R254" i="36" a="1"/>
  <c r="R254" i="36" s="1"/>
  <c r="N253" i="36"/>
  <c r="N247" i="36"/>
  <c r="S243" i="36"/>
  <c r="N242" i="36"/>
  <c r="S241" i="36"/>
  <c r="O236" i="36" a="1"/>
  <c r="O236" i="36" s="1"/>
  <c r="O232" i="36" a="1"/>
  <c r="O232" i="36" s="1"/>
  <c r="R223" i="36" a="1"/>
  <c r="R223" i="36" s="1"/>
  <c r="O222" i="36" a="1"/>
  <c r="O222" i="36" s="1"/>
  <c r="S220" i="36"/>
  <c r="O215" i="36" a="1"/>
  <c r="O215" i="36" s="1"/>
  <c r="R211" i="36" a="1"/>
  <c r="R211" i="36" s="1"/>
  <c r="R229" i="36" s="1" a="1"/>
  <c r="R229" i="36" s="1"/>
  <c r="R209" i="36" a="1"/>
  <c r="R209" i="36" s="1"/>
  <c r="P198" i="36"/>
  <c r="S195" i="36"/>
  <c r="S194" i="36"/>
  <c r="S209" i="36" s="1"/>
  <c r="R194" i="36" a="1"/>
  <c r="R194" i="36" s="1"/>
  <c r="S193" i="36"/>
  <c r="P191" i="36"/>
  <c r="S187" i="36"/>
  <c r="O184" i="36" a="1"/>
  <c r="O184" i="36" s="1"/>
  <c r="O179" i="36" a="1"/>
  <c r="O179" i="36" s="1"/>
  <c r="N177" i="36"/>
  <c r="S175" i="36"/>
  <c r="P173" i="36"/>
  <c r="S171" i="36"/>
  <c r="R162" i="36" a="1"/>
  <c r="R162" i="36" s="1"/>
  <c r="S153" i="36"/>
  <c r="S150" i="36"/>
  <c r="S146" i="36"/>
  <c r="N144" i="36"/>
  <c r="S142" i="36"/>
  <c r="R141" i="36" a="1"/>
  <c r="R141" i="36" s="1"/>
  <c r="N135" i="36"/>
  <c r="N164" i="36" s="1"/>
  <c r="P134" i="36"/>
  <c r="P131" i="36"/>
  <c r="R127" i="36" a="1"/>
  <c r="R127" i="36" s="1"/>
  <c r="O124" i="36" a="1"/>
  <c r="O124" i="36" s="1"/>
  <c r="O118" i="36" a="1"/>
  <c r="O118" i="36" s="1"/>
  <c r="P116" i="36"/>
  <c r="P132" i="36" s="1"/>
  <c r="N116" i="36"/>
  <c r="S115" i="36"/>
  <c r="P113" i="36"/>
  <c r="O110" i="36" a="1"/>
  <c r="O110" i="36" s="1"/>
  <c r="S107" i="36"/>
  <c r="P107" i="36"/>
  <c r="O100" i="36" a="1"/>
  <c r="O100" i="36" s="1"/>
  <c r="O99" i="36" a="1"/>
  <c r="O99" i="36" s="1"/>
  <c r="P98" i="36"/>
  <c r="N96" i="36"/>
  <c r="N86" i="36"/>
  <c r="P84" i="36"/>
  <c r="R78" i="36" a="1"/>
  <c r="R78" i="36" s="1"/>
  <c r="N75" i="36"/>
  <c r="P74" i="36"/>
  <c r="O71" i="36" a="1"/>
  <c r="O71" i="36" s="1"/>
  <c r="O93" i="36" s="1" a="1"/>
  <c r="O93" i="36" s="1"/>
  <c r="S70" i="36"/>
  <c r="S66" i="36"/>
  <c r="O55" i="36" a="1"/>
  <c r="O55" i="36" s="1"/>
  <c r="V9" i="36" s="1"/>
  <c r="N55" i="36"/>
  <c r="N53" i="36"/>
  <c r="N51" i="36"/>
  <c r="P48" i="36"/>
  <c r="S47" i="36"/>
  <c r="P43" i="36"/>
  <c r="N42" i="36"/>
  <c r="R39" i="36" a="1"/>
  <c r="R39" i="36" s="1"/>
  <c r="N38" i="36"/>
  <c r="O37" i="36" a="1"/>
  <c r="O37" i="36" s="1"/>
  <c r="N32" i="36"/>
  <c r="N31" i="36"/>
  <c r="R30" i="36" a="1"/>
  <c r="R30" i="36" s="1"/>
  <c r="O24" i="36" a="1"/>
  <c r="O24" i="36" s="1"/>
  <c r="R20" i="36" a="1"/>
  <c r="R20" i="36" s="1"/>
  <c r="P19" i="36"/>
  <c r="P18" i="36"/>
  <c r="S17" i="36"/>
  <c r="H2" i="3"/>
  <c r="H3" i="3"/>
  <c r="H4" i="3"/>
  <c r="H5" i="3"/>
  <c r="H6" i="3"/>
  <c r="H7" i="3"/>
  <c r="H8" i="3"/>
  <c r="H9" i="3"/>
  <c r="H10" i="3"/>
  <c r="M20" i="57"/>
  <c r="M2" i="57"/>
  <c r="M3" i="57"/>
  <c r="M4" i="57"/>
  <c r="M5" i="57"/>
  <c r="M6" i="57"/>
  <c r="M7" i="57"/>
  <c r="M8" i="57"/>
  <c r="D7" i="50"/>
  <c r="N2" i="3"/>
  <c r="N3" i="3"/>
  <c r="N4" i="3"/>
  <c r="N5" i="3"/>
  <c r="N6" i="3"/>
  <c r="N8" i="3"/>
  <c r="N9" i="3"/>
  <c r="N10" i="3"/>
  <c r="L2" i="3"/>
  <c r="L3" i="3"/>
  <c r="L4" i="3"/>
  <c r="L5" i="3"/>
  <c r="L6" i="3"/>
  <c r="L7" i="3"/>
  <c r="L8" i="3"/>
  <c r="L9" i="3"/>
  <c r="L10" i="3"/>
  <c r="K2" i="3"/>
  <c r="K3" i="3"/>
  <c r="K4" i="3"/>
  <c r="K5" i="3"/>
  <c r="K6" i="3"/>
  <c r="K7" i="3"/>
  <c r="K8" i="3"/>
  <c r="K9" i="3"/>
  <c r="K10" i="3"/>
  <c r="J2" i="3"/>
  <c r="J3" i="3"/>
  <c r="J4" i="3"/>
  <c r="J5" i="3"/>
  <c r="J6" i="3"/>
  <c r="J7" i="3"/>
  <c r="J8" i="3"/>
  <c r="J9" i="3"/>
  <c r="J10" i="3"/>
  <c r="I2" i="3"/>
  <c r="I3" i="3"/>
  <c r="I4" i="3"/>
  <c r="I5" i="3"/>
  <c r="I6" i="3"/>
  <c r="I7" i="3"/>
  <c r="I8" i="3"/>
  <c r="I9" i="3"/>
  <c r="I10" i="3"/>
  <c r="B56" i="36" l="1"/>
  <c r="B57" i="36"/>
  <c r="B53" i="36"/>
  <c r="B55" i="36"/>
  <c r="B54" i="36"/>
  <c r="M271" i="3"/>
  <c r="M264" i="3"/>
  <c r="M195" i="3"/>
  <c r="M188" i="3"/>
  <c r="M167" i="3"/>
  <c r="M148" i="3"/>
  <c r="M126" i="3"/>
  <c r="K116" i="3"/>
  <c r="M116" i="3" s="1"/>
  <c r="M105" i="3"/>
  <c r="M83" i="3"/>
  <c r="M74" i="3"/>
  <c r="M65" i="3"/>
  <c r="K53" i="3"/>
  <c r="M53" i="3" s="1"/>
  <c r="M19" i="3"/>
  <c r="M293" i="3"/>
  <c r="K253" i="3"/>
  <c r="M253" i="3" s="1"/>
  <c r="M244" i="3"/>
  <c r="M235" i="3"/>
  <c r="M227" i="3"/>
  <c r="M210" i="3"/>
  <c r="M197" i="3"/>
  <c r="M192" i="3"/>
  <c r="M185" i="3"/>
  <c r="M172" i="3"/>
  <c r="M161" i="3"/>
  <c r="M149" i="3"/>
  <c r="K144" i="3"/>
  <c r="M144" i="3" s="1"/>
  <c r="M142" i="3"/>
  <c r="K135" i="3"/>
  <c r="M135" i="3" s="1"/>
  <c r="M122" i="3"/>
  <c r="J116" i="3"/>
  <c r="H75" i="3"/>
  <c r="H53" i="3"/>
  <c r="M40" i="3"/>
  <c r="I32" i="3"/>
  <c r="M25" i="3"/>
  <c r="M21" i="3"/>
  <c r="M14" i="3"/>
  <c r="M115" i="3"/>
  <c r="M269" i="3"/>
  <c r="M268" i="3"/>
  <c r="M246" i="3"/>
  <c r="M219" i="3"/>
  <c r="M203" i="3"/>
  <c r="M190" i="3"/>
  <c r="M181" i="3"/>
  <c r="J177" i="3"/>
  <c r="I144" i="3"/>
  <c r="M140" i="3"/>
  <c r="M123" i="3"/>
  <c r="M76" i="3"/>
  <c r="M73" i="3"/>
  <c r="M67" i="3"/>
  <c r="M54" i="3"/>
  <c r="J51" i="3"/>
  <c r="M44" i="3"/>
  <c r="M223" i="3"/>
  <c r="I177" i="3"/>
  <c r="M174" i="3"/>
  <c r="M51" i="3"/>
  <c r="M45" i="3"/>
  <c r="M34" i="3"/>
  <c r="M15" i="3"/>
  <c r="M77" i="3"/>
  <c r="M59" i="3"/>
  <c r="M52" i="3"/>
  <c r="M23" i="3"/>
  <c r="M254" i="3"/>
  <c r="M252" i="3"/>
  <c r="M241" i="3"/>
  <c r="M238" i="3"/>
  <c r="M234" i="3"/>
  <c r="M230" i="3"/>
  <c r="M217" i="3"/>
  <c r="M215" i="3"/>
  <c r="M208" i="3"/>
  <c r="M200" i="3"/>
  <c r="M196" i="3"/>
  <c r="M162" i="3"/>
  <c r="M155" i="3"/>
  <c r="M151" i="3"/>
  <c r="M138" i="3"/>
  <c r="K134" i="3"/>
  <c r="M134" i="3" s="1"/>
  <c r="M132" i="3"/>
  <c r="M129" i="3"/>
  <c r="M114" i="3"/>
  <c r="K113" i="3"/>
  <c r="M113" i="3" s="1"/>
  <c r="M89" i="3"/>
  <c r="M82" i="3"/>
  <c r="M64" i="3"/>
  <c r="M60" i="3"/>
  <c r="M35" i="3"/>
  <c r="I31" i="3"/>
  <c r="M28" i="3"/>
  <c r="K179" i="3"/>
  <c r="M179" i="3" s="1"/>
  <c r="N236" i="3"/>
  <c r="N268" i="3"/>
  <c r="K24" i="3"/>
  <c r="M24" i="3" s="1"/>
  <c r="N50" i="3"/>
  <c r="K184" i="3"/>
  <c r="M184" i="3" s="1"/>
  <c r="M281" i="3"/>
  <c r="M276" i="3"/>
  <c r="M272" i="3"/>
  <c r="M266" i="3"/>
  <c r="M251" i="3"/>
  <c r="K209" i="3"/>
  <c r="M209" i="3" s="1"/>
  <c r="M206" i="3"/>
  <c r="M189" i="3"/>
  <c r="M187" i="3"/>
  <c r="M171" i="3"/>
  <c r="M159" i="3"/>
  <c r="M154" i="3"/>
  <c r="M143" i="3"/>
  <c r="M108" i="3"/>
  <c r="M97" i="3"/>
  <c r="K96" i="3"/>
  <c r="M96" i="3" s="1"/>
  <c r="M13" i="3"/>
  <c r="M288" i="3"/>
  <c r="M277" i="3"/>
  <c r="M240" i="3"/>
  <c r="M224" i="3"/>
  <c r="M212" i="3"/>
  <c r="M207" i="3"/>
  <c r="M186" i="3"/>
  <c r="M178" i="3"/>
  <c r="M177" i="3"/>
  <c r="M170" i="3"/>
  <c r="I164" i="3"/>
  <c r="M109" i="3"/>
  <c r="K107" i="3"/>
  <c r="M107" i="3" s="1"/>
  <c r="I96" i="3"/>
  <c r="M88" i="3"/>
  <c r="M85" i="3"/>
  <c r="N71" i="3"/>
  <c r="M66" i="3"/>
  <c r="M56" i="3"/>
  <c r="I51" i="3"/>
  <c r="H31" i="3"/>
  <c r="N289" i="3"/>
  <c r="M248" i="3"/>
  <c r="M173" i="3"/>
  <c r="H164" i="3"/>
  <c r="K131" i="3"/>
  <c r="M131" i="3" s="1"/>
  <c r="M120" i="3"/>
  <c r="M62" i="3"/>
  <c r="M49" i="3"/>
  <c r="M47" i="3"/>
  <c r="K43" i="3"/>
  <c r="M43" i="3" s="1"/>
  <c r="K42" i="3"/>
  <c r="M42" i="3" s="1"/>
  <c r="K37" i="3"/>
  <c r="M37" i="3" s="1"/>
  <c r="K55" i="3"/>
  <c r="M55" i="3" s="1"/>
  <c r="J42" i="3"/>
  <c r="M284" i="3"/>
  <c r="M292" i="3"/>
  <c r="M289" i="3"/>
  <c r="N286" i="3"/>
  <c r="K285" i="3"/>
  <c r="M285" i="3" s="1"/>
  <c r="M262" i="3"/>
  <c r="J253" i="3"/>
  <c r="M226" i="3"/>
  <c r="M204" i="3"/>
  <c r="M180" i="3"/>
  <c r="M166" i="3"/>
  <c r="M156" i="3"/>
  <c r="M152" i="3"/>
  <c r="M150" i="3"/>
  <c r="J135" i="3"/>
  <c r="M106" i="3"/>
  <c r="M70" i="3"/>
  <c r="J53" i="3"/>
  <c r="I42" i="3"/>
  <c r="K38" i="3"/>
  <c r="M38" i="3" s="1"/>
  <c r="M16" i="3"/>
  <c r="M286" i="3"/>
  <c r="M275" i="3"/>
  <c r="M263" i="3"/>
  <c r="M102" i="3"/>
  <c r="M81" i="3"/>
  <c r="J38" i="3"/>
  <c r="N67" i="3"/>
  <c r="K110" i="3"/>
  <c r="M110" i="3" s="1"/>
  <c r="C93" i="3" a="1"/>
  <c r="C93" i="3" s="1"/>
  <c r="N269" i="3"/>
  <c r="K71" i="3"/>
  <c r="M71" i="3" s="1"/>
  <c r="K99" i="3"/>
  <c r="M99" i="3" s="1"/>
  <c r="N85" i="3"/>
  <c r="K222" i="3"/>
  <c r="M222" i="3" s="1"/>
  <c r="N60" i="3"/>
  <c r="F229" i="3" a="1"/>
  <c r="F229" i="3" s="1"/>
  <c r="K229" i="3" s="1"/>
  <c r="M229" i="3" s="1"/>
  <c r="K211" i="3"/>
  <c r="M211" i="3" s="1"/>
  <c r="K124" i="3"/>
  <c r="M124" i="3" s="1"/>
  <c r="N53" i="3"/>
  <c r="N270" i="3"/>
  <c r="K287" i="3"/>
  <c r="M287" i="3" s="1"/>
  <c r="N11" i="3"/>
  <c r="K258" i="3"/>
  <c r="M258" i="3" s="1"/>
  <c r="K232" i="3"/>
  <c r="M232" i="3" s="1"/>
  <c r="H177" i="3"/>
  <c r="H55" i="3"/>
  <c r="H51" i="3"/>
  <c r="J258" i="3"/>
  <c r="I258" i="3"/>
  <c r="K236" i="3"/>
  <c r="M236" i="3" s="1"/>
  <c r="K98" i="3"/>
  <c r="M98" i="3" s="1"/>
  <c r="K86" i="3"/>
  <c r="M86" i="3" s="1"/>
  <c r="J86" i="3"/>
  <c r="K75" i="3"/>
  <c r="M75" i="3" s="1"/>
  <c r="K48" i="3"/>
  <c r="M48" i="3" s="1"/>
  <c r="K164" i="3"/>
  <c r="M164" i="3" s="1"/>
  <c r="I86" i="3"/>
  <c r="J75" i="3"/>
  <c r="K32" i="3"/>
  <c r="M32" i="3" s="1"/>
  <c r="K31" i="3"/>
  <c r="M31" i="3" s="1"/>
  <c r="B10" i="36"/>
  <c r="V8" i="36"/>
  <c r="V4" i="36"/>
  <c r="V5" i="36"/>
  <c r="V6" i="36"/>
  <c r="V7" i="36"/>
  <c r="M9" i="57"/>
  <c r="L7" i="50"/>
  <c r="N7" i="3"/>
  <c r="M2" i="3"/>
  <c r="M7" i="3"/>
  <c r="M4" i="3"/>
  <c r="M3" i="3"/>
  <c r="M9" i="3"/>
  <c r="M8" i="3"/>
  <c r="M6" i="3"/>
  <c r="M10" i="3"/>
  <c r="M5" i="3"/>
  <c r="N118" i="3" l="1"/>
  <c r="K93" i="3"/>
  <c r="M93" i="3" s="1"/>
  <c r="B5" i="36"/>
  <c r="V10" i="36"/>
  <c r="V29" i="36"/>
  <c r="B9" i="36"/>
  <c r="B7" i="36"/>
  <c r="B8" i="36"/>
  <c r="B6" i="36"/>
  <c r="H7" i="50"/>
  <c r="P7" i="5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<sst xmlns="http://schemas.openxmlformats.org/spreadsheetml/2006/main" count="7097" uniqueCount="418">
  <si>
    <t>NULL</t>
  </si>
  <si>
    <t>Closed</t>
  </si>
  <si>
    <t>Male</t>
  </si>
  <si>
    <t>Hodan</t>
  </si>
  <si>
    <t>Traffic Offense</t>
  </si>
  <si>
    <t>CRM00077</t>
  </si>
  <si>
    <t>High</t>
  </si>
  <si>
    <t>Wadajir</t>
  </si>
  <si>
    <t>Robbery</t>
  </si>
  <si>
    <t>CRM00023</t>
  </si>
  <si>
    <t>Low</t>
  </si>
  <si>
    <t>Under Investigation</t>
  </si>
  <si>
    <t>Female</t>
  </si>
  <si>
    <t>Waberi</t>
  </si>
  <si>
    <t>CRM00057</t>
  </si>
  <si>
    <t>Medium</t>
  </si>
  <si>
    <t>Open</t>
  </si>
  <si>
    <t>CRM00085</t>
  </si>
  <si>
    <t>CRM00052</t>
  </si>
  <si>
    <t>CRM00053</t>
  </si>
  <si>
    <t>CRM00024</t>
  </si>
  <si>
    <t>Karan</t>
  </si>
  <si>
    <t>Burglary</t>
  </si>
  <si>
    <t>CRM00279</t>
  </si>
  <si>
    <t>CRM00066</t>
  </si>
  <si>
    <t>CRM00185</t>
  </si>
  <si>
    <t>Yaqshid</t>
  </si>
  <si>
    <t>Theft</t>
  </si>
  <si>
    <t>CRM00277</t>
  </si>
  <si>
    <t>CRM00007</t>
  </si>
  <si>
    <t>Unknown</t>
  </si>
  <si>
    <t>Fraud</t>
  </si>
  <si>
    <t>CRM00167</t>
  </si>
  <si>
    <t>Daynile</t>
  </si>
  <si>
    <t>CRM00275</t>
  </si>
  <si>
    <t>CRM00055</t>
  </si>
  <si>
    <t>Assault</t>
  </si>
  <si>
    <t>CRM00230</t>
  </si>
  <si>
    <t>CRM00192</t>
  </si>
  <si>
    <t>CRM00009</t>
  </si>
  <si>
    <t>CRM00203</t>
  </si>
  <si>
    <t>CRM00189</t>
  </si>
  <si>
    <t>CRM00117</t>
  </si>
  <si>
    <t>CRM00017</t>
  </si>
  <si>
    <t>CRM00144</t>
  </si>
  <si>
    <t>CRM00288</t>
  </si>
  <si>
    <t>CRM00225</t>
  </si>
  <si>
    <t>Referred</t>
  </si>
  <si>
    <t>CRM00118</t>
  </si>
  <si>
    <t>CRM00217</t>
  </si>
  <si>
    <t>CRM00218</t>
  </si>
  <si>
    <t>CRM00086</t>
  </si>
  <si>
    <t>CRM00165</t>
  </si>
  <si>
    <t>CRM00209</t>
  </si>
  <si>
    <t>CRM00120</t>
  </si>
  <si>
    <t>MEDIUM</t>
  </si>
  <si>
    <t>CRM00032</t>
  </si>
  <si>
    <t>CRM00195</t>
  </si>
  <si>
    <t>CRM00016</t>
  </si>
  <si>
    <t>CRM00103</t>
  </si>
  <si>
    <t>CRM00166</t>
  </si>
  <si>
    <t>CRM00257</t>
  </si>
  <si>
    <t>CRM00015</t>
  </si>
  <si>
    <t>CRM00058</t>
  </si>
  <si>
    <t>CRM00070</t>
  </si>
  <si>
    <t>CRM00078</t>
  </si>
  <si>
    <t>CRM00206</t>
  </si>
  <si>
    <t>CRM00147</t>
  </si>
  <si>
    <t>CRM00237</t>
  </si>
  <si>
    <t>CRM00222</t>
  </si>
  <si>
    <t>CRM00040</t>
  </si>
  <si>
    <t>CRM00022</t>
  </si>
  <si>
    <t>CRM00207</t>
  </si>
  <si>
    <t>CRM00027</t>
  </si>
  <si>
    <t>CRM00033</t>
  </si>
  <si>
    <t>CRM00248</t>
  </si>
  <si>
    <t>CRM00020</t>
  </si>
  <si>
    <t>CRM00105</t>
  </si>
  <si>
    <t>CRM00124</t>
  </si>
  <si>
    <t>CRM00114</t>
  </si>
  <si>
    <t>CRM00226</t>
  </si>
  <si>
    <t>CRM00261</t>
  </si>
  <si>
    <t>CRM00081</t>
  </si>
  <si>
    <t>CRM00199</t>
  </si>
  <si>
    <t>CRM00176</t>
  </si>
  <si>
    <t>CRM00127</t>
  </si>
  <si>
    <t>CRM00067</t>
  </si>
  <si>
    <t>CRM00092</t>
  </si>
  <si>
    <t>CRM00102</t>
  </si>
  <si>
    <t>CRM00202</t>
  </si>
  <si>
    <t>CRM00190</t>
  </si>
  <si>
    <t>CRM00255</t>
  </si>
  <si>
    <t>CRM00268</t>
  </si>
  <si>
    <t>CRM00249</t>
  </si>
  <si>
    <t>CRM00283</t>
  </si>
  <si>
    <t>CRM00109</t>
  </si>
  <si>
    <t>medium</t>
  </si>
  <si>
    <t>CRM00063</t>
  </si>
  <si>
    <t>CRM00287</t>
  </si>
  <si>
    <t>CRM00228</t>
  </si>
  <si>
    <t>CRM00232</t>
  </si>
  <si>
    <t>CRM00083</t>
  </si>
  <si>
    <t>CRM00204</t>
  </si>
  <si>
    <t>CRM00139</t>
  </si>
  <si>
    <t>CRM00253</t>
  </si>
  <si>
    <t>CRM00050</t>
  </si>
  <si>
    <t>CRM00071</t>
  </si>
  <si>
    <t>CRM00219</t>
  </si>
  <si>
    <t>CRM00135</t>
  </si>
  <si>
    <t>CRM00267</t>
  </si>
  <si>
    <t>CRM00038</t>
  </si>
  <si>
    <t>CRM00284</t>
  </si>
  <si>
    <t>CRM00093</t>
  </si>
  <si>
    <t>CRM00100</t>
  </si>
  <si>
    <t>CRM00116</t>
  </si>
  <si>
    <t>CRM00061</t>
  </si>
  <si>
    <t>CRM00266</t>
  </si>
  <si>
    <t>CRM00148</t>
  </si>
  <si>
    <t>CRM00188</t>
  </si>
  <si>
    <t>CRM00220</t>
  </si>
  <si>
    <t>MALE</t>
  </si>
  <si>
    <t>CRM00019</t>
  </si>
  <si>
    <t>CRM00269</t>
  </si>
  <si>
    <t>CRM00174</t>
  </si>
  <si>
    <t>CRM00037</t>
  </si>
  <si>
    <t>CRM00272</t>
  </si>
  <si>
    <t>CRM00005</t>
  </si>
  <si>
    <t>CRM00271</t>
  </si>
  <si>
    <t>CRM00281</t>
  </si>
  <si>
    <t>CRM00034</t>
  </si>
  <si>
    <t>CRM00043</t>
  </si>
  <si>
    <t>CRM00246</t>
  </si>
  <si>
    <t>CRM00259</t>
  </si>
  <si>
    <t>CRM00169</t>
  </si>
  <si>
    <t>CRM00036</t>
  </si>
  <si>
    <t>CRM00014</t>
  </si>
  <si>
    <t>CRM00274</t>
  </si>
  <si>
    <t>CRM00060</t>
  </si>
  <si>
    <t>CRM00074</t>
  </si>
  <si>
    <t>CRM00263</t>
  </si>
  <si>
    <t>CRM00229</t>
  </si>
  <si>
    <t>CRM00048</t>
  </si>
  <si>
    <t>CRM00065</t>
  </si>
  <si>
    <t>CRM00068</t>
  </si>
  <si>
    <t>CRM00239</t>
  </si>
  <si>
    <t>CRM00171</t>
  </si>
  <si>
    <t>CRM00091</t>
  </si>
  <si>
    <t>N/A</t>
  </si>
  <si>
    <t>CRM00012</t>
  </si>
  <si>
    <t>CRM00136</t>
  </si>
  <si>
    <t>CRM00180</t>
  </si>
  <si>
    <t>CRM00126</t>
  </si>
  <si>
    <t>CRM00212</t>
  </si>
  <si>
    <t>CRM00208</t>
  </si>
  <si>
    <t>CRM00155</t>
  </si>
  <si>
    <t>CRM00164</t>
  </si>
  <si>
    <t>CRM00197</t>
  </si>
  <si>
    <t>CRM00150</t>
  </si>
  <si>
    <t>CRM00182</t>
  </si>
  <si>
    <t>CRM00270</t>
  </si>
  <si>
    <t>CRM00196</t>
  </si>
  <si>
    <t>CRM00076</t>
  </si>
  <si>
    <t>CRM00172</t>
  </si>
  <si>
    <t>under investigation</t>
  </si>
  <si>
    <t>CRM00149</t>
  </si>
  <si>
    <t>CRM00145</t>
  </si>
  <si>
    <t>CRM00113</t>
  </si>
  <si>
    <t>CRM00072</t>
  </si>
  <si>
    <t>CRM00082</t>
  </si>
  <si>
    <t>CRM00156</t>
  </si>
  <si>
    <t>CRM00011</t>
  </si>
  <si>
    <t>CRM00193</t>
  </si>
  <si>
    <t>CRM00221</t>
  </si>
  <si>
    <t>CRM00146</t>
  </si>
  <si>
    <t>CRM00201</t>
  </si>
  <si>
    <t>CRM00285</t>
  </si>
  <si>
    <t>CRM00047</t>
  </si>
  <si>
    <t>CRM00013</t>
  </si>
  <si>
    <t>CRM00160</t>
  </si>
  <si>
    <t>CRM00181</t>
  </si>
  <si>
    <t>CRM00111</t>
  </si>
  <si>
    <t>CRM00141</t>
  </si>
  <si>
    <t>CRM00152</t>
  </si>
  <si>
    <t>CRM00132</t>
  </si>
  <si>
    <t>CRM00238</t>
  </si>
  <si>
    <t>CRM00273</t>
  </si>
  <si>
    <t>CRM00205</t>
  </si>
  <si>
    <t>CRM00133</t>
  </si>
  <si>
    <t>CRM00125</t>
  </si>
  <si>
    <t>THEFT</t>
  </si>
  <si>
    <t>CRM00233</t>
  </si>
  <si>
    <t>CRM00170</t>
  </si>
  <si>
    <t>CRM00256</t>
  </si>
  <si>
    <t>CRM00003</t>
  </si>
  <si>
    <t>CRM00031</t>
  </si>
  <si>
    <t>CRM00121</t>
  </si>
  <si>
    <t>CRM00098</t>
  </si>
  <si>
    <t>CRM00187</t>
  </si>
  <si>
    <t>CRM00183</t>
  </si>
  <si>
    <t>CRM00123</t>
  </si>
  <si>
    <t>CRM00289</t>
  </si>
  <si>
    <t>CRM00119</t>
  </si>
  <si>
    <t>CRM00292</t>
  </si>
  <si>
    <t>CRM00264</t>
  </si>
  <si>
    <t>CRM00242</t>
  </si>
  <si>
    <t>CRM00247</t>
  </si>
  <si>
    <t>CRM00107</t>
  </si>
  <si>
    <t>CRM00062</t>
  </si>
  <si>
    <t>CRM00214</t>
  </si>
  <si>
    <t>CRM00162</t>
  </si>
  <si>
    <t>CRM00137</t>
  </si>
  <si>
    <t>CRM00236</t>
  </si>
  <si>
    <t>CRM00260</t>
  </si>
  <si>
    <t>CRM00008</t>
  </si>
  <si>
    <t>CRM00224</t>
  </si>
  <si>
    <t>CRM00243</t>
  </si>
  <si>
    <t>CRM00129</t>
  </si>
  <si>
    <t>CRM00044</t>
  </si>
  <si>
    <t>CRM00250</t>
  </si>
  <si>
    <t>CRM00142</t>
  </si>
  <si>
    <t>-</t>
  </si>
  <si>
    <t>CRM00191</t>
  </si>
  <si>
    <t>CRM00131</t>
  </si>
  <si>
    <t>CRM00130</t>
  </si>
  <si>
    <t>CRM00134</t>
  </si>
  <si>
    <t>CRM00006</t>
  </si>
  <si>
    <t>CRM00200</t>
  </si>
  <si>
    <t>CRM00151</t>
  </si>
  <si>
    <t>CRM00088</t>
  </si>
  <si>
    <t>CRM00029</t>
  </si>
  <si>
    <t>CRM00099</t>
  </si>
  <si>
    <t>CRM00051</t>
  </si>
  <si>
    <t>CRM00094</t>
  </si>
  <si>
    <t>CRM00041</t>
  </si>
  <si>
    <t>CRM00175</t>
  </si>
  <si>
    <t>CRM00177</t>
  </si>
  <si>
    <t>closed</t>
  </si>
  <si>
    <t>CRM00211</t>
  </si>
  <si>
    <t>CRM00282</t>
  </si>
  <si>
    <t>CRM00075</t>
  </si>
  <si>
    <t>CRM00001</t>
  </si>
  <si>
    <t>CRM00241</t>
  </si>
  <si>
    <t>CRM00025</t>
  </si>
  <si>
    <t>CRM00179</t>
  </si>
  <si>
    <t>CRM00231</t>
  </si>
  <si>
    <t>CRM00002</t>
  </si>
  <si>
    <t>CRM00276</t>
  </si>
  <si>
    <t>CRM00106</t>
  </si>
  <si>
    <t>CRM00173</t>
  </si>
  <si>
    <t>CRM00280</t>
  </si>
  <si>
    <t>CRM00046</t>
  </si>
  <si>
    <t>CRM00104</t>
  </si>
  <si>
    <t>CRM00168</t>
  </si>
  <si>
    <t>CRM00059</t>
  </si>
  <si>
    <t>CRM00042</t>
  </si>
  <si>
    <t>CRM00112</t>
  </si>
  <si>
    <t>CRM00004</t>
  </si>
  <si>
    <t>CRM00163</t>
  </si>
  <si>
    <t>CRM00223</t>
  </si>
  <si>
    <t>CRM00194</t>
  </si>
  <si>
    <t>CRM00087</t>
  </si>
  <si>
    <t>CRM00157</t>
  </si>
  <si>
    <t>CRM00128</t>
  </si>
  <si>
    <t>CRM00101</t>
  </si>
  <si>
    <t>CRM00291</t>
  </si>
  <si>
    <t>CRM00039</t>
  </si>
  <si>
    <t>CRM00010</t>
  </si>
  <si>
    <t>CRM00227</t>
  </si>
  <si>
    <t>CRM00097</t>
  </si>
  <si>
    <t>CRM00258</t>
  </si>
  <si>
    <t>CRM00090</t>
  </si>
  <si>
    <t>CRM00254</t>
  </si>
  <si>
    <t>CRM00161</t>
  </si>
  <si>
    <t>CRM00240</t>
  </si>
  <si>
    <t>CRM00286</t>
  </si>
  <si>
    <t>CRM00215</t>
  </si>
  <si>
    <t>CRM00140</t>
  </si>
  <si>
    <t>CRM00178</t>
  </si>
  <si>
    <t>CRM00049</t>
  </si>
  <si>
    <t>CRM00234</t>
  </si>
  <si>
    <t>CRM00252</t>
  </si>
  <si>
    <t>CRM00045</t>
  </si>
  <si>
    <t>CRM00021</t>
  </si>
  <si>
    <t>CRM00278</t>
  </si>
  <si>
    <t>CRM00064</t>
  </si>
  <si>
    <t>CRM00216</t>
  </si>
  <si>
    <t>CRM00026</t>
  </si>
  <si>
    <t>CRM00213</t>
  </si>
  <si>
    <t>CRM00251</t>
  </si>
  <si>
    <t>CRM00158</t>
  </si>
  <si>
    <t>CRM00235</t>
  </si>
  <si>
    <t>CRM00262</t>
  </si>
  <si>
    <t>CRM00073</t>
  </si>
  <si>
    <t>CRM00210</t>
  </si>
  <si>
    <t>CRM00035</t>
  </si>
  <si>
    <t>CRM00245</t>
  </si>
  <si>
    <t>CRM00122</t>
  </si>
  <si>
    <t>CRM00153</t>
  </si>
  <si>
    <t>CRM00096</t>
  </si>
  <si>
    <t>CRM00018</t>
  </si>
  <si>
    <t>CRM00028</t>
  </si>
  <si>
    <t>CRM00138</t>
  </si>
  <si>
    <t>CRM00265</t>
  </si>
  <si>
    <t>CRM00244</t>
  </si>
  <si>
    <t>CRM00198</t>
  </si>
  <si>
    <t>CRM00143</t>
  </si>
  <si>
    <t>CRM00290</t>
  </si>
  <si>
    <t>CRM00054</t>
  </si>
  <si>
    <t>Severity_Level</t>
  </si>
  <si>
    <t>Case_Status</t>
  </si>
  <si>
    <t>Victim_Gender</t>
  </si>
  <si>
    <t>District</t>
  </si>
  <si>
    <t>Crime_Type</t>
  </si>
  <si>
    <t>Crime_Date</t>
  </si>
  <si>
    <t>Crime_ID</t>
  </si>
  <si>
    <t>unknown</t>
  </si>
  <si>
    <t>Crime_month</t>
  </si>
  <si>
    <t>Crime_month name</t>
  </si>
  <si>
    <t>Data_Quality_Flag</t>
  </si>
  <si>
    <t>Duplicate_Flag</t>
  </si>
  <si>
    <t>Record_Status</t>
  </si>
  <si>
    <t>Crime_Year</t>
  </si>
  <si>
    <t>Row Labels</t>
  </si>
  <si>
    <t>Grand Total</t>
  </si>
  <si>
    <t>Count of Crime_Type</t>
  </si>
  <si>
    <t>Count of Crime_ID</t>
  </si>
  <si>
    <t>Column Labels</t>
  </si>
  <si>
    <t>January</t>
  </si>
  <si>
    <t>February</t>
  </si>
  <si>
    <t>March</t>
  </si>
  <si>
    <t>April</t>
  </si>
  <si>
    <t>May</t>
  </si>
  <si>
    <t>June</t>
  </si>
  <si>
    <t>July</t>
  </si>
  <si>
    <t>August</t>
  </si>
  <si>
    <t>September</t>
  </si>
  <si>
    <t>October</t>
  </si>
  <si>
    <t>November</t>
  </si>
  <si>
    <t>December</t>
  </si>
  <si>
    <t>Count of Severity_Level</t>
  </si>
  <si>
    <t>concat</t>
  </si>
  <si>
    <t>Strategic Recommendations</t>
  </si>
  <si>
    <t>CRM001</t>
  </si>
  <si>
    <t>CRM002</t>
  </si>
  <si>
    <t>CRM003</t>
  </si>
  <si>
    <t>CRM004</t>
  </si>
  <si>
    <t>CRM005</t>
  </si>
  <si>
    <t>CRM006</t>
  </si>
  <si>
    <t>CRM007</t>
  </si>
  <si>
    <t>CRM008</t>
  </si>
  <si>
    <t>CRM009</t>
  </si>
  <si>
    <t>CRM010</t>
  </si>
  <si>
    <t>CRM011</t>
  </si>
  <si>
    <t>CRM012</t>
  </si>
  <si>
    <t>CRM013</t>
  </si>
  <si>
    <t>CRM014</t>
  </si>
  <si>
    <t>CRM015</t>
  </si>
  <si>
    <t>Count of Crime_month name</t>
  </si>
  <si>
    <t>Count of Crime_Year</t>
  </si>
  <si>
    <t>Count</t>
  </si>
  <si>
    <t>OPEN / UNDER INVESTIGATION</t>
  </si>
  <si>
    <t>TOTAL INCIDENTS</t>
  </si>
  <si>
    <t>CLOSED CAES</t>
  </si>
  <si>
    <t>HIGH SEVERITY INCIDENTS</t>
  </si>
  <si>
    <t>Crimes by District</t>
  </si>
  <si>
    <t>Count of Case_Status</t>
  </si>
  <si>
    <t>DANBIGA UGU BDAN EE DHACA</t>
  </si>
  <si>
    <t>KISASKA NOCYADODA</t>
  </si>
  <si>
    <t>ANALYSIS SHEET — Formulas, Cleaning References &amp; Calculations</t>
  </si>
  <si>
    <t>Missing-Value Fill Reference (Part B — Data Cleaning)</t>
  </si>
  <si>
    <t>Field</t>
  </si>
  <si>
    <t>Fill Value Used</t>
  </si>
  <si>
    <t>Method</t>
  </si>
  <si>
    <t>Mode (most frequent category)</t>
  </si>
  <si>
    <t>Median (robust to skew/outliers vs. mean)</t>
  </si>
  <si>
    <t>Metric</t>
  </si>
  <si>
    <t>Result</t>
  </si>
  <si>
    <t>Part E — Date Functions</t>
  </si>
  <si>
    <t>Today's Date (TODAY)</t>
  </si>
  <si>
    <t>Current Date &amp; Time (NOW)</t>
  </si>
  <si>
    <t>Earliest Crime Date (MIN)</t>
  </si>
  <si>
    <t>Latest Crime Date (MAX)</t>
  </si>
  <si>
    <t>Day-of-month of Latest Crime (DAY)</t>
  </si>
  <si>
    <t>Month of Latest Crime (MONTH)</t>
  </si>
  <si>
    <t>Year of Latest Crime (YEAR)</t>
  </si>
  <si>
    <t>Custom date built with DATE() function</t>
  </si>
  <si>
    <t>Part C — Text Functions (TRIM/PROPER/UPPER also used throughout Clean_Data)</t>
  </si>
  <si>
    <t>Example</t>
  </si>
  <si>
    <t>First 3 characters of Crime_ID (LEFT)</t>
  </si>
  <si>
    <t>Last 5 characters of Crime_ID (RIGHT)</t>
  </si>
  <si>
    <t>Length of Crime_ID text (LEN)</t>
  </si>
  <si>
    <t>District name in uppercase (UPPER)</t>
  </si>
  <si>
    <t>Combined description (concatenation)</t>
  </si>
  <si>
    <t>Count of Victim_Gender</t>
  </si>
  <si>
    <t>ID</t>
  </si>
  <si>
    <t>Gender</t>
  </si>
  <si>
    <t>total missing raws</t>
  </si>
  <si>
    <r>
      <t>1. Increase police resources</t>
    </r>
    <r>
      <rPr>
        <sz val="18"/>
        <color theme="1"/>
        <rFont val="Aptos Narrow"/>
        <family val="2"/>
        <scheme val="minor"/>
      </rPr>
      <t xml:space="preserve"> in Hodan and Wadajir.</t>
    </r>
  </si>
  <si>
    <r>
      <t>2. Create a case-clearance team</t>
    </r>
    <r>
      <rPr>
        <sz val="18"/>
        <color theme="1"/>
        <rFont val="Aptos Narrow"/>
        <family val="2"/>
        <scheme val="minor"/>
      </rPr>
      <t xml:space="preserve"> to focus on open and investigation cases.</t>
    </r>
  </si>
  <si>
    <r>
      <t>3. Strengthen theft prevention</t>
    </r>
    <r>
      <rPr>
        <sz val="18"/>
        <color theme="1"/>
        <rFont val="Aptos Narrow"/>
        <family val="2"/>
        <scheme val="minor"/>
      </rPr>
      <t xml:space="preserve"> through public awareness and surveillance.</t>
    </r>
  </si>
  <si>
    <r>
      <t>4. Improve data quality</t>
    </r>
    <r>
      <rPr>
        <sz val="18"/>
        <color theme="1"/>
        <rFont val="Aptos Narrow"/>
        <family val="2"/>
        <scheme val="minor"/>
      </rPr>
      <t xml:space="preserve"> by reducing missing and unknown values.</t>
    </r>
  </si>
  <si>
    <r>
      <t>5. Improve coordination</t>
    </r>
    <r>
      <rPr>
        <sz val="18"/>
        <color theme="1"/>
        <rFont val="Aptos Narrow"/>
        <family val="2"/>
        <scheme val="minor"/>
      </rPr>
      <t xml:space="preserve"> between police and other relevant authorities.</t>
    </r>
  </si>
  <si>
    <r>
      <t>High-severity incidents represent a significant share of cases</t>
    </r>
    <r>
      <rPr>
        <sz val="16"/>
        <color theme="1"/>
        <rFont val="Aptos Narrow"/>
        <family val="2"/>
        <scheme val="minor"/>
      </rPr>
      <t xml:space="preserve"> – 106 incidents.</t>
    </r>
  </si>
  <si>
    <r>
      <t>Closed cases make up a substantial portion of reported cases</t>
    </r>
    <r>
      <rPr>
        <sz val="16"/>
        <color theme="1"/>
        <rFont val="Aptos Narrow"/>
        <family val="2"/>
        <scheme val="minor"/>
      </rPr>
      <t xml:space="preserve"> – 123 cases.</t>
    </r>
  </si>
  <si>
    <r>
      <t>Many cases remain active or under investigation</t>
    </r>
    <r>
      <rPr>
        <sz val="16"/>
        <color theme="1"/>
        <rFont val="Aptos Narrow"/>
        <family val="2"/>
        <scheme val="minor"/>
      </rPr>
      <t xml:space="preserve"> – 144 cases.</t>
    </r>
  </si>
  <si>
    <r>
      <t>Some cases are referred to other authorities/departments</t>
    </r>
    <r>
      <rPr>
        <sz val="16"/>
        <color theme="1"/>
        <rFont val="Aptos Narrow"/>
        <family val="2"/>
        <scheme val="minor"/>
      </rPr>
      <t xml:space="preserve"> – 25 cases.</t>
    </r>
  </si>
  <si>
    <t xml:space="preserve"> Key Findings </t>
  </si>
  <si>
    <t>serevity level</t>
  </si>
  <si>
    <r>
      <t>Hodan has the highest number of reported crimes</t>
    </r>
    <r>
      <rPr>
        <sz val="16"/>
        <color theme="1"/>
        <rFont val="Aptos Narrow"/>
        <family val="2"/>
        <scheme val="minor"/>
      </rPr>
      <t xml:space="preserve"> – 84 incidents.</t>
    </r>
  </si>
  <si>
    <r>
      <t>Theft is the most common crime type</t>
    </r>
    <r>
      <rPr>
        <sz val="16"/>
        <color theme="1"/>
        <rFont val="Aptos Narrow"/>
        <family val="2"/>
        <scheme val="minor"/>
      </rPr>
      <t xml:space="preserve"> – 84 incidents.</t>
    </r>
  </si>
  <si>
    <t xml:space="preserve">BILAHA IO DANBIYADA DHACAEYN </t>
  </si>
  <si>
    <t>missing raws of each column</t>
  </si>
  <si>
    <r>
      <t>The raw dataset contained missing/unknown values</t>
    </r>
    <r>
      <rPr>
        <sz val="16"/>
        <color theme="1"/>
        <rFont val="Aptos Narrow"/>
        <family val="2"/>
        <scheme val="minor"/>
      </rPr>
      <t xml:space="preserve"> – 142 across 8 variables.</t>
    </r>
  </si>
  <si>
    <t>Most Common Crime in the Most Affected District</t>
  </si>
  <si>
    <t>(All)</t>
  </si>
  <si>
    <t>Year with the Most Crimes</t>
  </si>
  <si>
    <t>Gender and Crime Type Analysis</t>
  </si>
  <si>
    <t>GENDERKA IO DHIMATADA NOCYADA KU DHACO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</si>
</sst>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dd\-mmm\-yyyy"/>
    <numFmt numFmtId="166" formatCode="0.0"/>
    <numFmt numFmtId="167" formatCode="dd\-mmm\-yyyy\ hh:mm"/>
  </numFmts>
  <fonts count="28">
    <font>
      <sz val="11"/>
      <color theme="1"/>
      <name val="Aptos Narrow"/>
      <family val="2"/>
      <scheme val="minor"/>
    </font>
    <font>
      <b/>
      <sz val="11"/>
      <name val="Carlito"/>
    </font>
    <font>
      <b/>
      <sz val="11"/>
      <color theme="1"/>
      <name val="Aptos Narrow"/>
      <family val="2"/>
      <scheme val="minor"/>
    </font>
    <font>
      <b/>
      <sz val="11"/>
      <color theme="1"/>
      <name val="Abadi"/>
      <family val="2"/>
    </font>
    <font>
      <sz val="11"/>
      <color theme="8" tint="-0.499984740745262"/>
      <name val="Aptos Narrow"/>
      <family val="2"/>
      <scheme val="minor"/>
    </font>
    <font>
      <b/>
      <sz val="12"/>
      <color theme="8" tint="-0.499984740745262"/>
      <name val="Calibri"/>
      <family val="2"/>
    </font>
    <font>
      <sz val="8"/>
      <name val="Aptos Narrow"/>
      <family val="2"/>
      <scheme val="minor"/>
    </font>
    <font>
      <b/>
      <sz val="26"/>
      <color theme="1"/>
      <name val="Abadi"/>
      <family val="2"/>
    </font>
    <font>
      <b/>
      <sz val="16"/>
      <color theme="1"/>
      <name val="Abadi"/>
      <family val="2"/>
    </font>
    <font>
      <b/>
      <sz val="14"/>
      <color theme="1"/>
      <name val="Abadi"/>
      <family val="2"/>
    </font>
    <font>
      <b/>
      <sz val="10"/>
      <color theme="1"/>
      <name val="Abadi"/>
      <family val="2"/>
    </font>
    <font>
      <b/>
      <sz val="18"/>
      <color theme="1"/>
      <name val="Abadi"/>
      <family val="2"/>
    </font>
    <font>
      <b/>
      <sz val="16"/>
      <color rgb="FF1F3864"/>
      <name val="Arial"/>
      <family val="2"/>
    </font>
    <font>
      <b/>
      <sz val="11"/>
      <color rgb="FFFFFFFF"/>
      <name val="Arial"/>
      <family val="2"/>
    </font>
    <font>
      <b/>
      <sz val="12"/>
      <color rgb="FFFFFFFF"/>
      <name val="Arial"/>
      <family val="2"/>
    </font>
    <font>
      <b/>
      <sz val="10"/>
      <name val="Arial"/>
      <family val="2"/>
    </font>
    <font>
      <sz val="10"/>
      <name val="Arial"/>
      <family val="2"/>
    </font>
    <font>
      <b/>
      <sz val="10"/>
      <color rgb="FFFFFFFF"/>
      <name val="Arial"/>
      <family val="2"/>
    </font>
    <font>
      <i/>
      <sz val="9"/>
      <color rgb="FF808080"/>
      <name val="Arial"/>
      <family val="2"/>
    </font>
    <font>
      <sz val="10"/>
      <color theme="1"/>
      <name val="Arial Unicode MS"/>
    </font>
    <font>
      <b/>
      <sz val="18"/>
      <color theme="1"/>
      <name val="Aptos Narrow"/>
      <family val="2"/>
      <scheme val="minor"/>
    </font>
    <font>
      <sz val="18"/>
      <color theme="1"/>
      <name val="Aptos Narrow"/>
      <family val="2"/>
      <scheme val="minor"/>
    </font>
    <font>
      <b/>
      <sz val="16"/>
      <color theme="1"/>
      <name val="Aptos Narrow"/>
      <family val="2"/>
      <scheme val="minor"/>
    </font>
    <font>
      <sz val="16"/>
      <color theme="1"/>
      <name val="Aptos Narrow"/>
      <family val="2"/>
      <scheme val="minor"/>
    </font>
    <font>
      <b/>
      <sz val="18"/>
      <color theme="1"/>
      <name val="Calibri"/>
      <family val="2"/>
    </font>
    <font>
      <b/>
      <sz val="22"/>
      <color theme="1"/>
      <name val="Aptos Narrow"/>
      <family val="2"/>
      <scheme val="minor"/>
    </font>
    <font>
      <b/>
      <sz val="20"/>
      <color theme="1"/>
      <name val="Abadi"/>
      <family val="2"/>
    </font>
    <font>
      <b/>
      <sz val="20"/>
      <color theme="1"/>
      <name val="Aptos Narrow"/>
      <family val="2"/>
      <scheme val="minor"/>
    </font>
  </fonts>
  <fills count="10">
    <fill>
      <patternFill patternType="none"/>
    </fill>
    <fill>
      <patternFill patternType="gray125"/>
    </fill>
    <fill>
      <patternFill patternType="solid">
        <fgColor rgb="FFD9EAF7"/>
      </patternFill>
    </fill>
    <fill>
      <patternFill patternType="solid">
        <fgColor theme="0"/>
        <bgColor indexed="64"/>
      </patternFill>
    </fill>
    <fill>
      <patternFill patternType="solid">
        <fgColor theme="8" tint="-0.249977111117893"/>
        <bgColor indexed="64"/>
      </patternFill>
    </fill>
    <fill>
      <patternFill patternType="solid">
        <fgColor rgb="FF1F3864"/>
        <bgColor rgb="FF333399"/>
      </patternFill>
    </fill>
    <fill>
      <patternFill patternType="solid">
        <fgColor rgb="FF2E75B6"/>
        <bgColor rgb="FF4F81BD"/>
      </patternFill>
    </fill>
    <fill>
      <patternFill patternType="solid">
        <fgColor theme="3" tint="0.749992370372631"/>
        <bgColor indexed="64"/>
      </patternFill>
    </fill>
    <fill>
      <patternFill patternType="solid">
        <fgColor theme="3" tint="0.89999084444715716"/>
        <bgColor indexed="64"/>
      </patternFill>
    </fill>
    <fill>
      <patternFill patternType="solid">
        <fgColor theme="4" tint="0.79998168889431442"/>
        <bgColor indexed="6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61">
    <xf numFmtId="0" fontId="0" fillId="0" borderId="0" xfId="0"/>
    <xf numFmtId="164" fontId="0" fillId="0" borderId="0" xfId="0" applyNumberFormat="1"/>
    <xf numFmtId="0" fontId="1" fillId="2" borderId="0" xfId="0" applyFont="1" applyFill="1" applyAlignment="1">
      <alignment horizontal="center" vertical="center"/>
    </xf>
    <xf numFmtId="0" fontId="0" fillId="0" borderId="0" xfId="0" pivotButton="1"/>
    <xf numFmtId="0" fontId="0" fillId="0" borderId="0" xfId="0" applyAlignment="1">
      <alignment horizontal="left"/>
    </xf>
    <xf numFmtId="0" fontId="0" fillId="3" borderId="0" xfId="0" applyFill="1" applyAlignment="1">
      <alignment horizontal="left"/>
    </xf>
    <xf numFmtId="0" fontId="0" fillId="3" borderId="0" xfId="0" applyFill="1"/>
    <xf numFmtId="0" fontId="4" fillId="0" borderId="0" xfId="0" applyFont="1"/>
    <xf numFmtId="0" fontId="1" fillId="4" borderId="0" xfId="0" applyFont="1" applyFill="1" applyAlignment="1">
      <alignment horizontal="center" vertical="center"/>
    </xf>
    <xf numFmtId="0" fontId="2" fillId="4" borderId="0" xfId="0" applyFont="1" applyFill="1"/>
    <xf numFmtId="0" fontId="0" fillId="3" borderId="0" xfId="0" applyFill="1" applyAlignment="1">
      <alignment horizontal="center"/>
    </xf>
    <xf numFmtId="0" fontId="3" fillId="8" borderId="0" xfId="0" applyFont="1" applyFill="1" applyAlignment="1">
      <alignment horizontal="center"/>
    </xf>
    <xf numFmtId="0" fontId="0" fillId="8" borderId="0" xfId="0" applyFill="1" applyAlignment="1">
      <alignment horizontal="center"/>
    </xf>
    <xf numFmtId="0" fontId="0" fillId="7" borderId="0" xfId="0" applyFill="1"/>
    <xf numFmtId="0" fontId="10" fillId="8" borderId="0" xfId="0" applyFont="1" applyFill="1" applyAlignment="1">
      <alignment horizontal="center"/>
    </xf>
    <xf numFmtId="0" fontId="5" fillId="3" borderId="0" xfId="0" applyFont="1" applyFill="1"/>
    <xf numFmtId="0" fontId="12" fillId="0" borderId="0" xfId="0" applyFont="1"/>
    <xf numFmtId="0" fontId="13" fillId="5" borderId="0" xfId="0" applyFont="1" applyFill="1"/>
    <xf numFmtId="0" fontId="14" fillId="6" borderId="0" xfId="0" applyFont="1" applyFill="1"/>
    <xf numFmtId="0" fontId="0" fillId="6" borderId="0" xfId="0" applyFill="1"/>
    <xf numFmtId="0" fontId="15" fillId="5" borderId="0" xfId="0" applyFont="1" applyFill="1"/>
    <xf numFmtId="0" fontId="13" fillId="5" borderId="1" xfId="0" applyFont="1" applyFill="1" applyBorder="1" applyAlignment="1">
      <alignment horizontal="center"/>
    </xf>
    <xf numFmtId="0" fontId="16" fillId="0" borderId="0" xfId="0" applyFont="1"/>
    <xf numFmtId="0" fontId="16" fillId="0" borderId="1" xfId="0" applyFont="1" applyBorder="1"/>
    <xf numFmtId="165" fontId="16" fillId="0" borderId="1" xfId="0" applyNumberFormat="1" applyFont="1" applyBorder="1"/>
    <xf numFmtId="0" fontId="15" fillId="0" borderId="0" xfId="0" applyFont="1"/>
    <xf numFmtId="0" fontId="13" fillId="6" borderId="0" xfId="0" applyFont="1" applyFill="1"/>
    <xf numFmtId="0" fontId="17" fillId="5" borderId="0" xfId="0" applyFont="1" applyFill="1"/>
    <xf numFmtId="0" fontId="0" fillId="0" borderId="1" xfId="0" applyBorder="1"/>
    <xf numFmtId="166" fontId="16" fillId="0" borderId="1" xfId="0" applyNumberFormat="1" applyFont="1" applyBorder="1"/>
    <xf numFmtId="167" fontId="16" fillId="0" borderId="1" xfId="0" applyNumberFormat="1" applyFont="1" applyBorder="1"/>
    <xf numFmtId="0" fontId="18" fillId="0" borderId="0" xfId="0" applyFont="1"/>
    <xf numFmtId="0" fontId="2" fillId="0" borderId="0" xfId="0" applyFont="1"/>
    <xf numFmtId="0" fontId="19" fillId="0" borderId="0" xfId="0" applyFont="1" applyAlignment="1">
      <alignment vertical="center" wrapText="1"/>
    </xf>
    <xf numFmtId="0" fontId="2" fillId="0" borderId="0" xfId="0" applyFont="1" applyAlignment="1">
      <alignment vertical="center" wrapText="1"/>
    </xf>
    <xf numFmtId="0" fontId="0" fillId="0" borderId="0" xfId="0" applyAlignment="1">
      <alignment horizontal="left" vertical="center" indent="1"/>
    </xf>
    <xf numFmtId="0" fontId="20" fillId="0" borderId="0" xfId="0" applyFont="1" applyAlignment="1">
      <alignment horizontal="left" vertical="center" indent="1"/>
    </xf>
    <xf numFmtId="0" fontId="21" fillId="0" borderId="0" xfId="0" applyFont="1"/>
    <xf numFmtId="0" fontId="22" fillId="0" borderId="0" xfId="0" applyFont="1"/>
    <xf numFmtId="0" fontId="23" fillId="0" borderId="0" xfId="0" applyFont="1"/>
    <xf numFmtId="0" fontId="24" fillId="3" borderId="0" xfId="0" applyFont="1" applyFill="1"/>
    <xf numFmtId="0" fontId="25" fillId="0" borderId="0" xfId="0" applyFont="1" applyAlignment="1">
      <alignment vertical="center"/>
    </xf>
    <xf numFmtId="0" fontId="3" fillId="0" borderId="0" xfId="0" applyFont="1" applyAlignment="1">
      <alignment vertical="center" wrapText="1"/>
    </xf>
    <xf numFmtId="0" fontId="0" fillId="9" borderId="0" xfId="0" applyFill="1"/>
    <xf numFmtId="0" fontId="0" fillId="9" borderId="0" xfId="0" applyFill="1" applyAlignment="1">
      <alignment horizontal="left"/>
    </xf>
    <xf numFmtId="0" fontId="0" fillId="8" borderId="0" xfId="0" applyFill="1" applyAlignment="1">
      <alignment horizontal="left"/>
    </xf>
    <xf numFmtId="0" fontId="0" fillId="8" borderId="0" xfId="0" applyFill="1"/>
    <xf numFmtId="0" fontId="0" fillId="7" borderId="0" xfId="0" applyFill="1" applyAlignment="1">
      <alignment horizontal="left"/>
    </xf>
    <xf numFmtId="14" fontId="0" fillId="0" borderId="0" xfId="0" applyNumberFormat="1"/>
    <xf numFmtId="0" fontId="0" fillId="7" borderId="0" xfId="0" pivotButton="1" applyFill="1"/>
    <xf numFmtId="0" fontId="9" fillId="0" borderId="0" xfId="0" applyFont="1" applyAlignment="1">
      <alignment horizontal="center" vertical="center" wrapText="1"/>
    </xf>
    <xf numFmtId="0" fontId="2" fillId="0" borderId="0" xfId="0" applyFont="1" applyAlignment="1">
      <alignment horizontal="center" vertical="center" wrapText="1"/>
    </xf>
    <xf numFmtId="0" fontId="22" fillId="8" borderId="0" xfId="0" applyFont="1" applyFill="1" applyAlignment="1">
      <alignment horizontal="center"/>
    </xf>
    <xf numFmtId="0" fontId="0" fillId="8" borderId="0" xfId="0" applyFill="1" applyAlignment="1">
      <alignment horizontal="center"/>
    </xf>
    <xf numFmtId="0" fontId="26" fillId="8" borderId="0" xfId="0" applyFont="1" applyFill="1" applyAlignment="1">
      <alignment horizontal="center"/>
    </xf>
    <xf numFmtId="0" fontId="11" fillId="8" borderId="0" xfId="0" applyFont="1" applyFill="1" applyAlignment="1">
      <alignment horizontal="center"/>
    </xf>
    <xf numFmtId="0" fontId="27" fillId="8" borderId="0" xfId="0" applyFont="1" applyFill="1" applyAlignment="1">
      <alignment horizontal="center"/>
    </xf>
    <xf numFmtId="0" fontId="9" fillId="8" borderId="0" xfId="0" applyFont="1" applyFill="1" applyAlignment="1">
      <alignment horizontal="center"/>
    </xf>
    <xf numFmtId="0" fontId="7" fillId="3" borderId="0" xfId="0" applyFont="1" applyFill="1" applyAlignment="1">
      <alignment horizontal="center"/>
    </xf>
    <xf numFmtId="0" fontId="3" fillId="8" borderId="0" xfId="0" applyFont="1" applyFill="1" applyAlignment="1">
      <alignment horizontal="center"/>
    </xf>
    <xf numFmtId="0" fontId="8" fillId="8" borderId="0" xfId="0" applyFont="1" applyFill="1" applyAlignment="1">
      <alignment horizontal="center"/>
    </xf>
  </cellXfs>
  <cellStyles count="1">
    <cellStyle name="Normal" xfId="0" builtinId="0"/>
  </cellStyles>
  <dxfs count="115">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bgColor theme="3" tint="0.749992370372631"/>
        </patternFill>
      </fill>
    </dxf>
    <dxf>
      <fill>
        <patternFill>
          <bgColor theme="3" tint="0.749992370372631"/>
        </patternFill>
      </fill>
    </dxf>
    <dxf>
      <fill>
        <patternFill>
          <bgColor theme="3" tint="0.749992370372631"/>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0"/>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numFmt numFmtId="164" formatCode="yyyy\-mm\-dd"/>
    </dxf>
    <dxf>
      <font>
        <b/>
        <i val="0"/>
        <strike val="0"/>
        <condense val="0"/>
        <extend val="0"/>
        <outline val="0"/>
        <shadow val="0"/>
        <u val="none"/>
        <vertAlign val="baseline"/>
        <sz val="11"/>
        <color theme="1"/>
        <name val="Aptos Narrow"/>
        <family val="2"/>
        <scheme val="minor"/>
      </font>
      <fill>
        <patternFill patternType="solid">
          <fgColor indexed="64"/>
          <bgColor theme="8" tint="-0.249977111117893"/>
        </patternFill>
      </fill>
    </dxf>
    <dxf>
      <fill>
        <patternFill>
          <bgColor theme="3" tint="0.749992370372631"/>
        </patternFill>
      </fill>
    </dxf>
    <dxf>
      <fill>
        <patternFill>
          <bgColor theme="3" tint="0.749992370372631"/>
        </patternFill>
      </fill>
    </dxf>
    <dxf>
      <fill>
        <patternFill>
          <bgColor theme="3" tint="0.749992370372631"/>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0"/>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3" tint="0.749992370372631"/>
        </patternFill>
      </fill>
    </dxf>
    <dxf>
      <fill>
        <patternFill>
          <bgColor theme="3" tint="0.749992370372631"/>
        </patternFill>
      </fill>
    </dxf>
    <dxf>
      <fill>
        <patternFill>
          <bgColor theme="3" tint="0.749992370372631"/>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0"/>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3" tint="0.89999084444715716"/>
        </patternFill>
      </fill>
    </dxf>
    <dxf>
      <fill>
        <patternFill>
          <bgColor theme="0"/>
        </patternFill>
      </fill>
    </dxf>
    <dxf>
      <fill>
        <patternFill>
          <bgColor theme="4" tint="0.79998168889431442"/>
        </patternFill>
      </fill>
    </dxf>
    <dxf>
      <fill>
        <patternFill>
          <bgColor theme="4" tint="0.79998168889431442"/>
        </patternFill>
      </fill>
    </dxf>
    <dxf>
      <fill>
        <patternFill>
          <bgColor theme="5" tint="-0.249977111117893"/>
        </patternFill>
      </fill>
    </dxf>
    <dxf>
      <fill>
        <patternFill>
          <bgColor theme="5" tint="-0.249977111117893"/>
        </patternFill>
      </fill>
    </dxf>
    <dxf>
      <fill>
        <patternFill>
          <bgColor theme="5"/>
        </patternFill>
      </fill>
    </dxf>
    <dxf>
      <fill>
        <patternFill>
          <bgColor theme="0"/>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5" tint="-0.249977111117893"/>
        </patternFill>
      </fill>
    </dxf>
    <dxf>
      <fill>
        <patternFill>
          <bgColor theme="5" tint="-0.249977111117893"/>
        </patternFill>
      </fill>
    </dxf>
    <dxf>
      <fill>
        <patternFill>
          <bgColor theme="0"/>
        </patternFill>
      </fill>
    </dxf>
    <dxf>
      <fill>
        <patternFill>
          <bgColor theme="0"/>
        </patternFill>
      </fill>
    </dxf>
    <dxf>
      <fill>
        <patternFill>
          <bgColor theme="0"/>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3" tint="0.749992370372631"/>
        </patternFill>
      </fill>
    </dxf>
    <dxf>
      <fill>
        <patternFill>
          <bgColor theme="3" tint="0.749992370372631"/>
        </patternFill>
      </fill>
    </dxf>
    <dxf>
      <fill>
        <patternFill>
          <bgColor theme="3" tint="0.749992370372631"/>
        </patternFill>
      </fill>
    </dxf>
    <dxf>
      <fill>
        <patternFill>
          <bgColor theme="5" tint="-0.249977111117893"/>
        </patternFill>
      </fill>
    </dxf>
    <dxf>
      <fill>
        <patternFill>
          <bgColor theme="5" tint="-0.249977111117893"/>
        </patternFill>
      </fill>
    </dxf>
    <dxf>
      <fill>
        <patternFill>
          <bgColor theme="0"/>
        </patternFill>
      </fill>
    </dxf>
    <dxf>
      <fill>
        <patternFill>
          <bgColor theme="0"/>
        </patternFill>
      </fill>
    </dxf>
    <dxf>
      <fill>
        <patternFill>
          <bgColor theme="0"/>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5" tint="-0.249977111117893"/>
        </patternFill>
      </fill>
    </dxf>
    <dxf>
      <fill>
        <patternFill>
          <bgColor theme="5" tint="-0.249977111117893"/>
        </patternFill>
      </fill>
    </dxf>
    <dxf>
      <fill>
        <patternFill>
          <bgColor theme="0"/>
        </patternFill>
      </fill>
    </dxf>
    <dxf>
      <fill>
        <patternFill>
          <bgColor theme="0"/>
        </patternFill>
      </fill>
    </dxf>
    <dxf>
      <fill>
        <patternFill>
          <bgColor theme="0"/>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5" tint="-0.249977111117893"/>
        </patternFill>
      </fill>
    </dxf>
    <dxf>
      <fill>
        <patternFill>
          <bgColor theme="5" tint="-0.249977111117893"/>
        </patternFill>
      </fill>
    </dxf>
    <dxf>
      <fill>
        <patternFill>
          <bgColor theme="0"/>
        </patternFill>
      </fill>
    </dxf>
    <dxf>
      <fill>
        <patternFill>
          <bgColor theme="0"/>
        </patternFill>
      </fill>
    </dxf>
    <dxf>
      <fill>
        <patternFill>
          <bgColor theme="0"/>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5.xml"/><Relationship Id="rId26" Type="http://schemas.microsoft.com/office/2007/relationships/slicerCache" Target="slicerCaches/slicerCache13.xml"/><Relationship Id="rId3" Type="http://schemas.openxmlformats.org/officeDocument/2006/relationships/worksheet" Target="worksheets/sheet3.xml"/><Relationship Id="rId21" Type="http://schemas.microsoft.com/office/2007/relationships/slicerCache" Target="slicerCaches/slicerCache8.xml"/><Relationship Id="rId34"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microsoft.com/office/2007/relationships/slicerCache" Target="slicerCaches/slicerCache4.xml"/><Relationship Id="rId25" Type="http://schemas.microsoft.com/office/2007/relationships/slicerCache" Target="slicerCaches/slicerCache12.xml"/><Relationship Id="rId33"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microsoft.com/office/2007/relationships/slicerCache" Target="slicerCaches/slicerCache11.xml"/><Relationship Id="rId32" Type="http://schemas.microsoft.com/office/2017/06/relationships/rdRichValue" Target="richData/rdrichvalue.xml"/><Relationship Id="rId5" Type="http://schemas.openxmlformats.org/officeDocument/2006/relationships/worksheet" Target="worksheets/sheet5.xml"/><Relationship Id="rId15" Type="http://schemas.microsoft.com/office/2007/relationships/slicerCache" Target="slicerCaches/slicerCache2.xml"/><Relationship Id="rId23" Type="http://schemas.microsoft.com/office/2007/relationships/slicerCache" Target="slicerCaches/slicerCache10.xml"/><Relationship Id="rId28" Type="http://schemas.openxmlformats.org/officeDocument/2006/relationships/theme" Target="theme/theme1.xml"/><Relationship Id="rId10" Type="http://schemas.openxmlformats.org/officeDocument/2006/relationships/pivotCacheDefinition" Target="pivotCache/pivotCacheDefinition3.xml"/><Relationship Id="rId19" Type="http://schemas.microsoft.com/office/2007/relationships/slicerCache" Target="slicerCaches/slicerCache6.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1.xml"/><Relationship Id="rId22" Type="http://schemas.microsoft.com/office/2007/relationships/slicerCache" Target="slicerCaches/slicerCache9.xml"/><Relationship Id="rId27" Type="http://schemas.microsoft.com/office/2007/relationships/slicerCache" Target="slicerCaches/slicerCache14.xml"/><Relationship Id="rId30" Type="http://schemas.openxmlformats.org/officeDocument/2006/relationships/sharedStrings" Target="sharedStrings.xml"/><Relationship Id="rId35" Type="http://schemas.openxmlformats.org/officeDocument/2006/relationships/calcChain" Target="calcChain.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[CRIME-DATA-ANALYSIS-COMPLA.xlsx]pivottable!PivotTable21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pivottable!$I$5</c:f>
              <c:strCache>
                <c:ptCount val="1"/>
                <c:pt idx="0">
                  <c:v>Total</c:v>
                </c:pt>
              </c:strCache>
            </c:strRef>
          </c:tx>
          <c:spPr>
            <a:solidFill>
              <a:schemeClr val="accent4"/>
            </a:solidFill>
            <a:ln>
              <a:noFill/>
            </a:ln>
            <a:effectLst/>
          </c:spPr>
          <c:invertIfNegative val="0"/>
          <c:cat>
            <c:strRef>
              <c:f>pivottable!$H$6:$H$12</c:f>
              <c:strCache>
                <c:ptCount val="6"/>
                <c:pt idx="0">
                  <c:v>Daynile</c:v>
                </c:pt>
                <c:pt idx="1">
                  <c:v>Hodan</c:v>
                </c:pt>
                <c:pt idx="2">
                  <c:v>Karan</c:v>
                </c:pt>
                <c:pt idx="3">
                  <c:v>Waberi</c:v>
                </c:pt>
                <c:pt idx="4">
                  <c:v>Wadajir</c:v>
                </c:pt>
                <c:pt idx="5">
                  <c:v>Yaqshid</c:v>
                </c:pt>
              </c:strCache>
            </c:strRef>
          </c:cat>
          <c:val>
            <c:numRef>
              <c:f>pivottable!$I$6:$I$12</c:f>
              <c:numCache>
                <c:formatCode>General</c:formatCode>
                <c:ptCount val="6"/>
                <c:pt idx="0">
                  <c:v>38</c:v>
                </c:pt>
                <c:pt idx="1">
                  <c:v>84</c:v>
                </c:pt>
                <c:pt idx="2">
                  <c:v>32</c:v>
                </c:pt>
                <c:pt idx="3">
                  <c:v>32</c:v>
                </c:pt>
                <c:pt idx="4">
                  <c:v>62</c:v>
                </c:pt>
                <c:pt idx="5">
                  <c:v>44</c:v>
                </c:pt>
              </c:numCache>
            </c:numRef>
          </c:val>
          <c:extLst>
            <c:ext xmlns:c16="http://schemas.microsoft.com/office/drawing/2014/chart" uri="{C3380CC4-5D6E-409C-BE32-E72D297353CC}">
              <c16:uniqueId val="{00000000-5B44-4E2F-B1D1-392297567D55}"/>
            </c:ext>
          </c:extLst>
        </c:ser>
        <c:dLbls>
          <c:showLegendKey val="0"/>
          <c:showVal val="0"/>
          <c:showCatName val="0"/>
          <c:showSerName val="0"/>
          <c:showPercent val="0"/>
          <c:showBubbleSize val="0"/>
        </c:dLbls>
        <c:gapWidth val="219"/>
        <c:overlap val="-27"/>
        <c:axId val="356526464"/>
        <c:axId val="211656784"/>
      </c:barChart>
      <c:catAx>
        <c:axId val="35652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56784"/>
        <c:crosses val="autoZero"/>
        <c:auto val="1"/>
        <c:lblAlgn val="ctr"/>
        <c:lblOffset val="100"/>
        <c:noMultiLvlLbl val="0"/>
      </c:catAx>
      <c:valAx>
        <c:axId val="211656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52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[CRIME-DATA-ANALYSIS-COMPLA.xlsx]pivottable!PivotTable2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c:f>
              <c:strCache>
                <c:ptCount val="1"/>
                <c:pt idx="0">
                  <c:v>Total</c:v>
                </c:pt>
              </c:strCache>
            </c:strRef>
          </c:tx>
          <c:spPr>
            <a:solidFill>
              <a:schemeClr val="accent1"/>
            </a:solidFill>
            <a:ln>
              <a:noFill/>
            </a:ln>
            <a:effectLst/>
          </c:spPr>
          <c:invertIfNegative val="0"/>
          <c:cat>
            <c:strRef>
              <c:f>pivottable!$A$4:$A$10</c:f>
              <c:strCache>
                <c:ptCount val="6"/>
                <c:pt idx="0">
                  <c:v>Assault</c:v>
                </c:pt>
                <c:pt idx="1">
                  <c:v>Burglary</c:v>
                </c:pt>
                <c:pt idx="2">
                  <c:v>Fraud</c:v>
                </c:pt>
                <c:pt idx="3">
                  <c:v>Robbery</c:v>
                </c:pt>
                <c:pt idx="4">
                  <c:v>Theft</c:v>
                </c:pt>
                <c:pt idx="5">
                  <c:v>Traffic Offense</c:v>
                </c:pt>
              </c:strCache>
            </c:strRef>
          </c:cat>
          <c:val>
            <c:numRef>
              <c:f>pivottable!$B$4:$B$10</c:f>
              <c:numCache>
                <c:formatCode>General</c:formatCode>
                <c:ptCount val="6"/>
                <c:pt idx="0">
                  <c:v>60</c:v>
                </c:pt>
                <c:pt idx="1">
                  <c:v>18</c:v>
                </c:pt>
                <c:pt idx="2">
                  <c:v>57</c:v>
                </c:pt>
                <c:pt idx="3">
                  <c:v>44</c:v>
                </c:pt>
                <c:pt idx="4">
                  <c:v>85</c:v>
                </c:pt>
                <c:pt idx="5">
                  <c:v>28</c:v>
                </c:pt>
              </c:numCache>
            </c:numRef>
          </c:val>
          <c:extLst>
            <c:ext xmlns:c16="http://schemas.microsoft.com/office/drawing/2014/chart" uri="{C3380CC4-5D6E-409C-BE32-E72D297353CC}">
              <c16:uniqueId val="{00000000-E2D1-445D-80AF-17F68D365727}"/>
            </c:ext>
          </c:extLst>
        </c:ser>
        <c:dLbls>
          <c:showLegendKey val="0"/>
          <c:showVal val="0"/>
          <c:showCatName val="0"/>
          <c:showSerName val="0"/>
          <c:showPercent val="0"/>
          <c:showBubbleSize val="0"/>
        </c:dLbls>
        <c:gapWidth val="219"/>
        <c:overlap val="-27"/>
        <c:axId val="17380512"/>
        <c:axId val="1961932016"/>
      </c:barChart>
      <c:catAx>
        <c:axId val="1738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932016"/>
        <c:crosses val="autoZero"/>
        <c:auto val="1"/>
        <c:lblAlgn val="ctr"/>
        <c:lblOffset val="100"/>
        <c:noMultiLvlLbl val="0"/>
      </c:catAx>
      <c:valAx>
        <c:axId val="1961932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[CRIME-DATA-ANALYSIS-COMPLA.xlsx]Dashboard!PivotTable27</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Dashboard!$B$12</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Dashboard!$A$13:$A$19</c:f>
              <c:strCache>
                <c:ptCount val="6"/>
                <c:pt idx="0">
                  <c:v>Hodan</c:v>
                </c:pt>
                <c:pt idx="1">
                  <c:v>Wadajir</c:v>
                </c:pt>
                <c:pt idx="2">
                  <c:v>Daynile</c:v>
                </c:pt>
                <c:pt idx="3">
                  <c:v>Karan</c:v>
                </c:pt>
                <c:pt idx="4">
                  <c:v>Yaqshid</c:v>
                </c:pt>
                <c:pt idx="5">
                  <c:v>Waberi</c:v>
                </c:pt>
              </c:strCache>
            </c:strRef>
          </c:cat>
          <c:val>
            <c:numRef>
              <c:f>Dashboard!$B$13:$B$19</c:f>
              <c:numCache>
                <c:formatCode>General</c:formatCode>
                <c:ptCount val="6"/>
                <c:pt idx="0">
                  <c:v>25</c:v>
                </c:pt>
                <c:pt idx="1">
                  <c:v>10</c:v>
                </c:pt>
                <c:pt idx="2">
                  <c:v>9</c:v>
                </c:pt>
                <c:pt idx="3">
                  <c:v>6</c:v>
                </c:pt>
                <c:pt idx="4">
                  <c:v>5</c:v>
                </c:pt>
                <c:pt idx="5">
                  <c:v>5</c:v>
                </c:pt>
              </c:numCache>
            </c:numRef>
          </c:val>
          <c:extLst>
            <c:ext xmlns:c16="http://schemas.microsoft.com/office/drawing/2014/chart" uri="{C3380CC4-5D6E-409C-BE32-E72D297353CC}">
              <c16:uniqueId val="{00000000-03C9-4434-862A-7E71A6D0731A}"/>
            </c:ext>
          </c:extLst>
        </c:ser>
        <c:dLbls>
          <c:dLblPos val="outEnd"/>
          <c:showLegendKey val="0"/>
          <c:showVal val="1"/>
          <c:showCatName val="0"/>
          <c:showSerName val="0"/>
          <c:showPercent val="0"/>
          <c:showBubbleSize val="0"/>
        </c:dLbls>
        <c:gapWidth val="100"/>
        <c:overlap val="-24"/>
        <c:axId val="432711664"/>
        <c:axId val="1956901104"/>
      </c:barChart>
      <c:catAx>
        <c:axId val="4327116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901104"/>
        <c:crosses val="autoZero"/>
        <c:auto val="1"/>
        <c:lblAlgn val="ctr"/>
        <c:lblOffset val="100"/>
        <c:noMultiLvlLbl val="0"/>
      </c:catAx>
      <c:valAx>
        <c:axId val="195690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71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[CRIME-DATA-ANALYSIS-COMPLA.xlsx]Dashboard!PivotTable28</c:name>
    <c:fmtId val="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Dashboard!$O$12</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Dashboard!$N$13:$N$17</c:f>
              <c:strCache>
                <c:ptCount val="4"/>
                <c:pt idx="0">
                  <c:v>Closed</c:v>
                </c:pt>
                <c:pt idx="1">
                  <c:v>Open</c:v>
                </c:pt>
                <c:pt idx="2">
                  <c:v>Referred</c:v>
                </c:pt>
                <c:pt idx="3">
                  <c:v>Under Investigation</c:v>
                </c:pt>
              </c:strCache>
            </c:strRef>
          </c:cat>
          <c:val>
            <c:numRef>
              <c:f>Dashboard!$O$13:$O$17</c:f>
              <c:numCache>
                <c:formatCode>General</c:formatCode>
                <c:ptCount val="4"/>
                <c:pt idx="0">
                  <c:v>123</c:v>
                </c:pt>
                <c:pt idx="1">
                  <c:v>68</c:v>
                </c:pt>
                <c:pt idx="2">
                  <c:v>25</c:v>
                </c:pt>
                <c:pt idx="3">
                  <c:v>77</c:v>
                </c:pt>
              </c:numCache>
            </c:numRef>
          </c:val>
          <c:extLst>
            <c:ext xmlns:c16="http://schemas.microsoft.com/office/drawing/2014/chart" uri="{C3380CC4-5D6E-409C-BE32-E72D297353CC}">
              <c16:uniqueId val="{00000002-4DFA-4AB9-BD03-C2508B1D09FE}"/>
            </c:ext>
          </c:extLst>
        </c:ser>
        <c:dLbls>
          <c:showLegendKey val="0"/>
          <c:showVal val="0"/>
          <c:showCatName val="0"/>
          <c:showSerName val="0"/>
          <c:showPercent val="0"/>
          <c:showBubbleSize val="0"/>
        </c:dLbls>
        <c:gapWidth val="150"/>
        <c:overlap val="100"/>
        <c:axId val="431907792"/>
        <c:axId val="1956862704"/>
      </c:barChart>
      <c:valAx>
        <c:axId val="1956862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907792"/>
        <c:crosses val="autoZero"/>
        <c:crossBetween val="between"/>
      </c:valAx>
      <c:catAx>
        <c:axId val="4319077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8627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[CRIME-DATA-ANALYSIS-COMPLA.xlsx]Dashboard!PivotTable31</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Dashboard!$B$43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Dashboard!$A$44:$A$47</c:f>
              <c:strCache>
                <c:ptCount val="3"/>
                <c:pt idx="0">
                  <c:v>High</c:v>
                </c:pt>
                <c:pt idx="1">
                  <c:v>Low</c:v>
                </c:pt>
                <c:pt idx="2">
                  <c:v>Medium</c:v>
                </c:pt>
              </c:strCache>
            </c:strRef>
          </c:cat>
          <c:val>
            <c:numRef>
              <c:f>Dashboard!$B$44:$B$47</c:f>
              <c:numCache>
                <c:formatCode>General</c:formatCode>
                <c:ptCount val="3"/>
                <c:pt idx="0">
                  <c:v>107</c:v>
                </c:pt>
                <c:pt idx="1">
                  <c:v>30</c:v>
                </c:pt>
                <c:pt idx="2">
                  <c:v>156</c:v>
                </c:pt>
              </c:numCache>
            </c:numRef>
          </c:val>
          <c:extLst>
            <c:ext xmlns:c16="http://schemas.microsoft.com/office/drawing/2014/chart" uri="{C3380CC4-5D6E-409C-BE32-E72D297353CC}">
              <c16:uniqueId val="{00000002-B66E-4BE3-85E5-BFCA9D58E0FD}"/>
            </c:ext>
          </c:extLst>
        </c:ser>
        <c:dLbls>
          <c:showLegendKey val="0"/>
          <c:showVal val="0"/>
          <c:showCatName val="0"/>
          <c:showSerName val="0"/>
          <c:showPercent val="0"/>
          <c:showBubbleSize val="0"/>
        </c:dLbls>
        <c:gapWidth val="100"/>
        <c:overlap val="-24"/>
        <c:axId val="534567568"/>
        <c:axId val="1956854064"/>
      </c:barChart>
      <c:catAx>
        <c:axId val="5345675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854064"/>
        <c:crosses val="autoZero"/>
        <c:auto val="1"/>
        <c:lblAlgn val="ctr"/>
        <c:lblOffset val="100"/>
        <c:noMultiLvlLbl val="0"/>
      </c:catAx>
      <c:valAx>
        <c:axId val="195685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567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[CRIME-DATA-ANALYSIS-COMPLA.xlsx]Dashboard!PivotTable32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Dashboard!$O$43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FB-430E-A379-055227A25E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FB-430E-A379-055227A25E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FB-430E-A379-055227A25E6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0FB-430E-A379-055227A25E6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0FB-430E-A379-055227A25E6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0FB-430E-A379-055227A25E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Dashboard!$N$44:$N$50</c:f>
              <c:strCache>
                <c:ptCount val="6"/>
                <c:pt idx="0">
                  <c:v>Assault</c:v>
                </c:pt>
                <c:pt idx="1">
                  <c:v>Burglary</c:v>
                </c:pt>
                <c:pt idx="2">
                  <c:v>Fraud</c:v>
                </c:pt>
                <c:pt idx="3">
                  <c:v>Robbery</c:v>
                </c:pt>
                <c:pt idx="4">
                  <c:v>Theft</c:v>
                </c:pt>
                <c:pt idx="5">
                  <c:v>Traffic Offense</c:v>
                </c:pt>
              </c:strCache>
            </c:strRef>
          </c:cat>
          <c:val>
            <c:numRef>
              <c:f>Dashboard!$O$44:$O$50</c:f>
              <c:numCache>
                <c:formatCode>General</c:formatCode>
                <c:ptCount val="6"/>
                <c:pt idx="0">
                  <c:v>60</c:v>
                </c:pt>
                <c:pt idx="1">
                  <c:v>18</c:v>
                </c:pt>
                <c:pt idx="2">
                  <c:v>57</c:v>
                </c:pt>
                <c:pt idx="3">
                  <c:v>44</c:v>
                </c:pt>
                <c:pt idx="4">
                  <c:v>85</c:v>
                </c:pt>
                <c:pt idx="5">
                  <c:v>29</c:v>
                </c:pt>
              </c:numCache>
            </c:numRef>
          </c:val>
          <c:extLst>
            <c:ext xmlns:c16="http://schemas.microsoft.com/office/drawing/2014/chart" uri="{C3380CC4-5D6E-409C-BE32-E72D297353CC}">
              <c16:uniqueId val="{00000000-6EC9-4239-89CC-92457822E2F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[CRIME-DATA-ANALYSIS-COMPLA.xlsx]Dashboard!PivotTable34</c:name>
    <c:fmtId val="7"/>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348145753078358E-2"/>
          <c:y val="0.18527276459599112"/>
          <c:w val="0.84291619134895002"/>
          <c:h val="0.61540609640124555"/>
        </c:manualLayout>
      </c:layout>
      <c:lineChart>
        <c:grouping val="standard"/>
        <c:varyColors val="0"/>
        <c:ser>
          <c:idx val="0"/>
          <c:order val="0"/>
          <c:tx>
            <c:strRef>
              <c:f>Dashboard!$B$66</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Dashboard!$A$67:$A$79</c:f>
              <c:strCache>
                <c:ptCount val="12"/>
                <c:pt idx="0">
                  <c:v>January</c:v>
                </c:pt>
                <c:pt idx="1">
                  <c:v>February</c:v>
                </c:pt>
                <c:pt idx="2">
                  <c:v>March</c:v>
                </c:pt>
                <c:pt idx="3">
                  <c:v>April</c:v>
                </c:pt>
                <c:pt idx="4">
                  <c:v>May</c:v>
                </c:pt>
                <c:pt idx="5">
                  <c:v>July</c:v>
                </c:pt>
                <c:pt idx="6">
                  <c:v>August</c:v>
                </c:pt>
                <c:pt idx="7">
                  <c:v>September</c:v>
                </c:pt>
                <c:pt idx="8">
                  <c:v>October</c:v>
                </c:pt>
                <c:pt idx="9">
                  <c:v>November</c:v>
                </c:pt>
                <c:pt idx="10">
                  <c:v>December</c:v>
                </c:pt>
              </c:strCache>
            </c:strRef>
          </c:cat>
          <c:val>
            <c:numRef>
              <c:f>Dashboard!$B$67:$B$79</c:f>
              <c:numCache>
                <c:formatCode>General</c:formatCode>
                <c:ptCount val="12"/>
                <c:pt idx="0">
                  <c:v>27</c:v>
                </c:pt>
                <c:pt idx="1">
                  <c:v>34</c:v>
                </c:pt>
                <c:pt idx="2">
                  <c:v>21</c:v>
                </c:pt>
                <c:pt idx="3">
                  <c:v>28</c:v>
                </c:pt>
                <c:pt idx="4">
                  <c:v>30</c:v>
                </c:pt>
                <c:pt idx="5">
                  <c:v>56</c:v>
                </c:pt>
                <c:pt idx="6">
                  <c:v>16</c:v>
                </c:pt>
                <c:pt idx="7">
                  <c:v>17</c:v>
                </c:pt>
                <c:pt idx="8">
                  <c:v>13</c:v>
                </c:pt>
                <c:pt idx="9">
                  <c:v>13</c:v>
                </c:pt>
                <c:pt idx="10">
                  <c:v>13</c:v>
                </c:pt>
                <c:pt idx="11">
                  <c:v>1</c:v>
                </c:pt>
              </c:numCache>
            </c:numRef>
          </c:val>
          <c:smooth val="0"/>
          <c:extLst>
            <c:ext xmlns:c16="http://schemas.microsoft.com/office/drawing/2014/chart" uri="{C3380CC4-5D6E-409C-BE32-E72D297353CC}">
              <c16:uniqueId val="{00000000-CE80-4AAD-96F3-A0A9559CAE91}"/>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34580560"/>
        <c:axId val="1956834384"/>
      </c:lineChart>
      <c:catAx>
        <c:axId val="53458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956834384"/>
        <c:crosses val="autoZero"/>
        <c:auto val="1"/>
        <c:lblAlgn val="ctr"/>
        <c:lblOffset val="100"/>
        <c:noMultiLvlLbl val="0"/>
      </c:catAx>
      <c:valAx>
        <c:axId val="1956834384"/>
        <c:scaling>
          <c:orientation val="minMax"/>
        </c:scaling>
        <c:delete val="1"/>
        <c:axPos val="l"/>
        <c:numFmt formatCode="General" sourceLinked="1"/>
        <c:majorTickMark val="none"/>
        <c:minorTickMark val="none"/>
        <c:tickLblPos val="nextTo"/>
        <c:crossAx val="534580560"/>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lumOff val="25000"/>
      </a:schemeClr>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[CRIME-DATA-ANALYSIS-COMPLA.xlsx]Dashboard!PivotTable36</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580927384076992E-2"/>
          <c:y val="9.1571886847477399E-2"/>
          <c:w val="0.69241360454943135"/>
          <c:h val="0.65890128317293672"/>
        </c:manualLayout>
      </c:layout>
      <c:barChart>
        <c:barDir val="col"/>
        <c:grouping val="clustered"/>
        <c:varyColors val="0"/>
        <c:ser>
          <c:idx val="0"/>
          <c:order val="0"/>
          <c:tx>
            <c:strRef>
              <c:f>Dashboard!$B$89:$B$90</c:f>
              <c:strCache>
                <c:ptCount val="1"/>
                <c:pt idx="0">
                  <c:v>Assault</c:v>
                </c:pt>
              </c:strCache>
            </c:strRef>
          </c:tx>
          <c:spPr>
            <a:solidFill>
              <a:schemeClr val="accent1"/>
            </a:solidFill>
            <a:ln>
              <a:noFill/>
            </a:ln>
            <a:effectLst/>
          </c:spPr>
          <c:invertIfNegative val="0"/>
          <c:cat>
            <c:strRef>
              <c:f>Dashboard!$A$91:$A$94</c:f>
              <c:strCache>
                <c:ptCount val="3"/>
                <c:pt idx="0">
                  <c:v>Female</c:v>
                </c:pt>
                <c:pt idx="1">
                  <c:v>Male</c:v>
                </c:pt>
                <c:pt idx="2">
                  <c:v>Unknown</c:v>
                </c:pt>
              </c:strCache>
            </c:strRef>
          </c:cat>
          <c:val>
            <c:numRef>
              <c:f>Dashboard!$B$91:$B$94</c:f>
              <c:numCache>
                <c:formatCode>General</c:formatCode>
                <c:ptCount val="3"/>
                <c:pt idx="0">
                  <c:v>17</c:v>
                </c:pt>
                <c:pt idx="1">
                  <c:v>36</c:v>
                </c:pt>
                <c:pt idx="2">
                  <c:v>7</c:v>
                </c:pt>
              </c:numCache>
            </c:numRef>
          </c:val>
          <c:extLst>
            <c:ext xmlns:c16="http://schemas.microsoft.com/office/drawing/2014/chart" uri="{C3380CC4-5D6E-409C-BE32-E72D297353CC}">
              <c16:uniqueId val="{00000000-C311-4FDC-A61C-47B812F3ED55}"/>
            </c:ext>
          </c:extLst>
        </c:ser>
        <c:ser>
          <c:idx val="1"/>
          <c:order val="1"/>
          <c:tx>
            <c:strRef>
              <c:f>Dashboard!$C$89:$C$90</c:f>
              <c:strCache>
                <c:ptCount val="1"/>
                <c:pt idx="0">
                  <c:v>Burglary</c:v>
                </c:pt>
              </c:strCache>
            </c:strRef>
          </c:tx>
          <c:spPr>
            <a:solidFill>
              <a:schemeClr val="accent2"/>
            </a:solidFill>
            <a:ln>
              <a:noFill/>
            </a:ln>
            <a:effectLst/>
          </c:spPr>
          <c:invertIfNegative val="0"/>
          <c:cat>
            <c:strRef>
              <c:f>Dashboard!$A$91:$A$94</c:f>
              <c:strCache>
                <c:ptCount val="3"/>
                <c:pt idx="0">
                  <c:v>Female</c:v>
                </c:pt>
                <c:pt idx="1">
                  <c:v>Male</c:v>
                </c:pt>
                <c:pt idx="2">
                  <c:v>Unknown</c:v>
                </c:pt>
              </c:strCache>
            </c:strRef>
          </c:cat>
          <c:val>
            <c:numRef>
              <c:f>Dashboard!$C$91:$C$94</c:f>
              <c:numCache>
                <c:formatCode>General</c:formatCode>
                <c:ptCount val="3"/>
                <c:pt idx="0">
                  <c:v>7</c:v>
                </c:pt>
                <c:pt idx="1">
                  <c:v>9</c:v>
                </c:pt>
                <c:pt idx="2">
                  <c:v>2</c:v>
                </c:pt>
              </c:numCache>
            </c:numRef>
          </c:val>
          <c:extLst>
            <c:ext xmlns:c16="http://schemas.microsoft.com/office/drawing/2014/chart" uri="{C3380CC4-5D6E-409C-BE32-E72D297353CC}">
              <c16:uniqueId val="{0000000B-E3C2-44E3-AC3C-298263D58232}"/>
            </c:ext>
          </c:extLst>
        </c:ser>
        <c:ser>
          <c:idx val="2"/>
          <c:order val="2"/>
          <c:tx>
            <c:strRef>
              <c:f>Dashboard!$D$89:$D$90</c:f>
              <c:strCache>
                <c:ptCount val="1"/>
                <c:pt idx="0">
                  <c:v>Fraud</c:v>
                </c:pt>
              </c:strCache>
            </c:strRef>
          </c:tx>
          <c:spPr>
            <a:solidFill>
              <a:schemeClr val="accent3"/>
            </a:solidFill>
            <a:ln>
              <a:noFill/>
            </a:ln>
            <a:effectLst/>
          </c:spPr>
          <c:invertIfNegative val="0"/>
          <c:cat>
            <c:strRef>
              <c:f>Dashboard!$A$91:$A$94</c:f>
              <c:strCache>
                <c:ptCount val="3"/>
                <c:pt idx="0">
                  <c:v>Female</c:v>
                </c:pt>
                <c:pt idx="1">
                  <c:v>Male</c:v>
                </c:pt>
                <c:pt idx="2">
                  <c:v>Unknown</c:v>
                </c:pt>
              </c:strCache>
            </c:strRef>
          </c:cat>
          <c:val>
            <c:numRef>
              <c:f>Dashboard!$D$91:$D$94</c:f>
              <c:numCache>
                <c:formatCode>General</c:formatCode>
                <c:ptCount val="3"/>
                <c:pt idx="0">
                  <c:v>21</c:v>
                </c:pt>
                <c:pt idx="1">
                  <c:v>26</c:v>
                </c:pt>
                <c:pt idx="2">
                  <c:v>10</c:v>
                </c:pt>
              </c:numCache>
            </c:numRef>
          </c:val>
          <c:extLst>
            <c:ext xmlns:c16="http://schemas.microsoft.com/office/drawing/2014/chart" uri="{C3380CC4-5D6E-409C-BE32-E72D297353CC}">
              <c16:uniqueId val="{0000000C-E3C2-44E3-AC3C-298263D58232}"/>
            </c:ext>
          </c:extLst>
        </c:ser>
        <c:ser>
          <c:idx val="3"/>
          <c:order val="3"/>
          <c:tx>
            <c:strRef>
              <c:f>Dashboard!$E$89:$E$90</c:f>
              <c:strCache>
                <c:ptCount val="1"/>
                <c:pt idx="0">
                  <c:v>Robbery</c:v>
                </c:pt>
              </c:strCache>
            </c:strRef>
          </c:tx>
          <c:spPr>
            <a:solidFill>
              <a:schemeClr val="accent4"/>
            </a:solidFill>
            <a:ln>
              <a:noFill/>
            </a:ln>
            <a:effectLst/>
          </c:spPr>
          <c:invertIfNegative val="0"/>
          <c:cat>
            <c:strRef>
              <c:f>Dashboard!$A$91:$A$94</c:f>
              <c:strCache>
                <c:ptCount val="3"/>
                <c:pt idx="0">
                  <c:v>Female</c:v>
                </c:pt>
                <c:pt idx="1">
                  <c:v>Male</c:v>
                </c:pt>
                <c:pt idx="2">
                  <c:v>Unknown</c:v>
                </c:pt>
              </c:strCache>
            </c:strRef>
          </c:cat>
          <c:val>
            <c:numRef>
              <c:f>Dashboard!$E$91:$E$94</c:f>
              <c:numCache>
                <c:formatCode>General</c:formatCode>
                <c:ptCount val="3"/>
                <c:pt idx="0">
                  <c:v>14</c:v>
                </c:pt>
                <c:pt idx="1">
                  <c:v>24</c:v>
                </c:pt>
                <c:pt idx="2">
                  <c:v>6</c:v>
                </c:pt>
              </c:numCache>
            </c:numRef>
          </c:val>
          <c:extLst>
            <c:ext xmlns:c16="http://schemas.microsoft.com/office/drawing/2014/chart" uri="{C3380CC4-5D6E-409C-BE32-E72D297353CC}">
              <c16:uniqueId val="{0000000D-E3C2-44E3-AC3C-298263D58232}"/>
            </c:ext>
          </c:extLst>
        </c:ser>
        <c:ser>
          <c:idx val="4"/>
          <c:order val="4"/>
          <c:tx>
            <c:strRef>
              <c:f>Dashboard!$F$89:$F$90</c:f>
              <c:strCache>
                <c:ptCount val="1"/>
                <c:pt idx="0">
                  <c:v>Theft</c:v>
                </c:pt>
              </c:strCache>
            </c:strRef>
          </c:tx>
          <c:spPr>
            <a:solidFill>
              <a:schemeClr val="accent5"/>
            </a:solidFill>
            <a:ln>
              <a:noFill/>
            </a:ln>
            <a:effectLst/>
          </c:spPr>
          <c:invertIfNegative val="0"/>
          <c:cat>
            <c:strRef>
              <c:f>Dashboard!$A$91:$A$94</c:f>
              <c:strCache>
                <c:ptCount val="3"/>
                <c:pt idx="0">
                  <c:v>Female</c:v>
                </c:pt>
                <c:pt idx="1">
                  <c:v>Male</c:v>
                </c:pt>
                <c:pt idx="2">
                  <c:v>Unknown</c:v>
                </c:pt>
              </c:strCache>
            </c:strRef>
          </c:cat>
          <c:val>
            <c:numRef>
              <c:f>Dashboard!$F$91:$F$94</c:f>
              <c:numCache>
                <c:formatCode>General</c:formatCode>
                <c:ptCount val="3"/>
                <c:pt idx="0">
                  <c:v>22</c:v>
                </c:pt>
                <c:pt idx="1">
                  <c:v>49</c:v>
                </c:pt>
                <c:pt idx="2">
                  <c:v>14</c:v>
                </c:pt>
              </c:numCache>
            </c:numRef>
          </c:val>
          <c:extLst>
            <c:ext xmlns:c16="http://schemas.microsoft.com/office/drawing/2014/chart" uri="{C3380CC4-5D6E-409C-BE32-E72D297353CC}">
              <c16:uniqueId val="{0000000E-E3C2-44E3-AC3C-298263D58232}"/>
            </c:ext>
          </c:extLst>
        </c:ser>
        <c:ser>
          <c:idx val="5"/>
          <c:order val="5"/>
          <c:tx>
            <c:strRef>
              <c:f>Dashboard!$G$89:$G$90</c:f>
              <c:strCache>
                <c:ptCount val="1"/>
                <c:pt idx="0">
                  <c:v>Traffic Offense</c:v>
                </c:pt>
              </c:strCache>
            </c:strRef>
          </c:tx>
          <c:spPr>
            <a:solidFill>
              <a:schemeClr val="accent6"/>
            </a:solidFill>
            <a:ln>
              <a:noFill/>
            </a:ln>
            <a:effectLst/>
          </c:spPr>
          <c:invertIfNegative val="0"/>
          <c:cat>
            <c:strRef>
              <c:f>Dashboard!$A$91:$A$94</c:f>
              <c:strCache>
                <c:ptCount val="3"/>
                <c:pt idx="0">
                  <c:v>Female</c:v>
                </c:pt>
                <c:pt idx="1">
                  <c:v>Male</c:v>
                </c:pt>
                <c:pt idx="2">
                  <c:v>Unknown</c:v>
                </c:pt>
              </c:strCache>
            </c:strRef>
          </c:cat>
          <c:val>
            <c:numRef>
              <c:f>Dashboard!$G$91:$G$94</c:f>
              <c:numCache>
                <c:formatCode>General</c:formatCode>
                <c:ptCount val="3"/>
                <c:pt idx="0">
                  <c:v>9</c:v>
                </c:pt>
                <c:pt idx="1">
                  <c:v>16</c:v>
                </c:pt>
                <c:pt idx="2">
                  <c:v>4</c:v>
                </c:pt>
              </c:numCache>
            </c:numRef>
          </c:val>
          <c:extLst>
            <c:ext xmlns:c16="http://schemas.microsoft.com/office/drawing/2014/chart" uri="{C3380CC4-5D6E-409C-BE32-E72D297353CC}">
              <c16:uniqueId val="{00000010-E3C2-44E3-AC3C-298263D58232}"/>
            </c:ext>
          </c:extLst>
        </c:ser>
        <c:dLbls>
          <c:showLegendKey val="0"/>
          <c:showVal val="0"/>
          <c:showCatName val="0"/>
          <c:showSerName val="0"/>
          <c:showPercent val="0"/>
          <c:showBubbleSize val="0"/>
        </c:dLbls>
        <c:gapWidth val="219"/>
        <c:overlap val="-27"/>
        <c:axId val="689099280"/>
        <c:axId val="211661584"/>
      </c:barChart>
      <c:catAx>
        <c:axId val="68909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61584"/>
        <c:crosses val="autoZero"/>
        <c:auto val="1"/>
        <c:lblAlgn val="ctr"/>
        <c:lblOffset val="100"/>
        <c:noMultiLvlLbl val="0"/>
      </c:catAx>
      <c:valAx>
        <c:axId val="21166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09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[CRIME-DATA-ANALYSIS-COMPLA.xlsx]Dashboard!PivotTable3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Dashboard!$B$118:$B$119</c:f>
              <c:strCache>
                <c:ptCount val="1"/>
                <c:pt idx="0">
                  <c:v>Assault</c:v>
                </c:pt>
              </c:strCache>
            </c:strRef>
          </c:tx>
          <c:spPr>
            <a:solidFill>
              <a:schemeClr val="accent1"/>
            </a:solidFill>
            <a:ln>
              <a:noFill/>
            </a:ln>
            <a:effectLst/>
          </c:spPr>
          <c:invertIfNegative val="0"/>
          <c:cat>
            <c:strRef>
              <c:f>Dashboard!$A$120:$A$126</c:f>
              <c:strCache>
                <c:ptCount val="6"/>
                <c:pt idx="0">
                  <c:v>Daynile</c:v>
                </c:pt>
                <c:pt idx="1">
                  <c:v>Hodan</c:v>
                </c:pt>
                <c:pt idx="2">
                  <c:v>Karan</c:v>
                </c:pt>
                <c:pt idx="3">
                  <c:v>Waberi</c:v>
                </c:pt>
                <c:pt idx="4">
                  <c:v>Wadajir</c:v>
                </c:pt>
                <c:pt idx="5">
                  <c:v>Yaqshid</c:v>
                </c:pt>
              </c:strCache>
            </c:strRef>
          </c:cat>
          <c:val>
            <c:numRef>
              <c:f>Dashboard!$B$120:$B$126</c:f>
              <c:numCache>
                <c:formatCode>General</c:formatCode>
                <c:ptCount val="6"/>
                <c:pt idx="0">
                  <c:v>9</c:v>
                </c:pt>
                <c:pt idx="1">
                  <c:v>25</c:v>
                </c:pt>
                <c:pt idx="2">
                  <c:v>6</c:v>
                </c:pt>
                <c:pt idx="3">
                  <c:v>5</c:v>
                </c:pt>
                <c:pt idx="4">
                  <c:v>10</c:v>
                </c:pt>
                <c:pt idx="5">
                  <c:v>5</c:v>
                </c:pt>
              </c:numCache>
            </c:numRef>
          </c:val>
          <c:extLst>
            <c:ext xmlns:c16="http://schemas.microsoft.com/office/drawing/2014/chart" uri="{C3380CC4-5D6E-409C-BE32-E72D297353CC}">
              <c16:uniqueId val="{00000000-C8F8-4F0C-9BE6-7B6EC86BAA47}"/>
            </c:ext>
          </c:extLst>
        </c:ser>
        <c:ser>
          <c:idx val="1"/>
          <c:order val="1"/>
          <c:tx>
            <c:strRef>
              <c:f>Dashboard!$C$118:$C$119</c:f>
              <c:strCache>
                <c:ptCount val="1"/>
                <c:pt idx="0">
                  <c:v>Burglary</c:v>
                </c:pt>
              </c:strCache>
            </c:strRef>
          </c:tx>
          <c:spPr>
            <a:solidFill>
              <a:schemeClr val="accent2"/>
            </a:solidFill>
            <a:ln>
              <a:noFill/>
            </a:ln>
            <a:effectLst/>
          </c:spPr>
          <c:invertIfNegative val="0"/>
          <c:cat>
            <c:strRef>
              <c:f>Dashboard!$A$120:$A$126</c:f>
              <c:strCache>
                <c:ptCount val="6"/>
                <c:pt idx="0">
                  <c:v>Daynile</c:v>
                </c:pt>
                <c:pt idx="1">
                  <c:v>Hodan</c:v>
                </c:pt>
                <c:pt idx="2">
                  <c:v>Karan</c:v>
                </c:pt>
                <c:pt idx="3">
                  <c:v>Waberi</c:v>
                </c:pt>
                <c:pt idx="4">
                  <c:v>Wadajir</c:v>
                </c:pt>
                <c:pt idx="5">
                  <c:v>Yaqshid</c:v>
                </c:pt>
              </c:strCache>
            </c:strRef>
          </c:cat>
          <c:val>
            <c:numRef>
              <c:f>Dashboard!$C$120:$C$126</c:f>
              <c:numCache>
                <c:formatCode>General</c:formatCode>
                <c:ptCount val="6"/>
                <c:pt idx="1">
                  <c:v>4</c:v>
                </c:pt>
                <c:pt idx="2">
                  <c:v>3</c:v>
                </c:pt>
                <c:pt idx="3">
                  <c:v>2</c:v>
                </c:pt>
                <c:pt idx="4">
                  <c:v>5</c:v>
                </c:pt>
                <c:pt idx="5">
                  <c:v>4</c:v>
                </c:pt>
              </c:numCache>
            </c:numRef>
          </c:val>
          <c:extLst>
            <c:ext xmlns:c16="http://schemas.microsoft.com/office/drawing/2014/chart" uri="{C3380CC4-5D6E-409C-BE32-E72D297353CC}">
              <c16:uniqueId val="{00000007-C8F8-4F0C-9BE6-7B6EC86BAA47}"/>
            </c:ext>
          </c:extLst>
        </c:ser>
        <c:ser>
          <c:idx val="2"/>
          <c:order val="2"/>
          <c:tx>
            <c:strRef>
              <c:f>Dashboard!$D$118:$D$119</c:f>
              <c:strCache>
                <c:ptCount val="1"/>
                <c:pt idx="0">
                  <c:v>Fraud</c:v>
                </c:pt>
              </c:strCache>
            </c:strRef>
          </c:tx>
          <c:spPr>
            <a:solidFill>
              <a:schemeClr val="accent3"/>
            </a:solidFill>
            <a:ln>
              <a:noFill/>
            </a:ln>
            <a:effectLst/>
          </c:spPr>
          <c:invertIfNegative val="0"/>
          <c:cat>
            <c:strRef>
              <c:f>Dashboard!$A$120:$A$126</c:f>
              <c:strCache>
                <c:ptCount val="6"/>
                <c:pt idx="0">
                  <c:v>Daynile</c:v>
                </c:pt>
                <c:pt idx="1">
                  <c:v>Hodan</c:v>
                </c:pt>
                <c:pt idx="2">
                  <c:v>Karan</c:v>
                </c:pt>
                <c:pt idx="3">
                  <c:v>Waberi</c:v>
                </c:pt>
                <c:pt idx="4">
                  <c:v>Wadajir</c:v>
                </c:pt>
                <c:pt idx="5">
                  <c:v>Yaqshid</c:v>
                </c:pt>
              </c:strCache>
            </c:strRef>
          </c:cat>
          <c:val>
            <c:numRef>
              <c:f>Dashboard!$D$120:$D$126</c:f>
              <c:numCache>
                <c:formatCode>General</c:formatCode>
                <c:ptCount val="6"/>
                <c:pt idx="0">
                  <c:v>9</c:v>
                </c:pt>
                <c:pt idx="1">
                  <c:v>15</c:v>
                </c:pt>
                <c:pt idx="2">
                  <c:v>3</c:v>
                </c:pt>
                <c:pt idx="3">
                  <c:v>3</c:v>
                </c:pt>
                <c:pt idx="4">
                  <c:v>12</c:v>
                </c:pt>
                <c:pt idx="5">
                  <c:v>15</c:v>
                </c:pt>
              </c:numCache>
            </c:numRef>
          </c:val>
          <c:extLst>
            <c:ext xmlns:c16="http://schemas.microsoft.com/office/drawing/2014/chart" uri="{C3380CC4-5D6E-409C-BE32-E72D297353CC}">
              <c16:uniqueId val="{00000008-C8F8-4F0C-9BE6-7B6EC86BAA47}"/>
            </c:ext>
          </c:extLst>
        </c:ser>
        <c:ser>
          <c:idx val="3"/>
          <c:order val="3"/>
          <c:tx>
            <c:strRef>
              <c:f>Dashboard!$E$118:$E$119</c:f>
              <c:strCache>
                <c:ptCount val="1"/>
                <c:pt idx="0">
                  <c:v>Robbery</c:v>
                </c:pt>
              </c:strCache>
            </c:strRef>
          </c:tx>
          <c:spPr>
            <a:solidFill>
              <a:schemeClr val="accent4"/>
            </a:solidFill>
            <a:ln>
              <a:noFill/>
            </a:ln>
            <a:effectLst/>
          </c:spPr>
          <c:invertIfNegative val="0"/>
          <c:cat>
            <c:strRef>
              <c:f>Dashboard!$A$120:$A$126</c:f>
              <c:strCache>
                <c:ptCount val="6"/>
                <c:pt idx="0">
                  <c:v>Daynile</c:v>
                </c:pt>
                <c:pt idx="1">
                  <c:v>Hodan</c:v>
                </c:pt>
                <c:pt idx="2">
                  <c:v>Karan</c:v>
                </c:pt>
                <c:pt idx="3">
                  <c:v>Waberi</c:v>
                </c:pt>
                <c:pt idx="4">
                  <c:v>Wadajir</c:v>
                </c:pt>
                <c:pt idx="5">
                  <c:v>Yaqshid</c:v>
                </c:pt>
              </c:strCache>
            </c:strRef>
          </c:cat>
          <c:val>
            <c:numRef>
              <c:f>Dashboard!$E$120:$E$126</c:f>
              <c:numCache>
                <c:formatCode>General</c:formatCode>
                <c:ptCount val="6"/>
                <c:pt idx="0">
                  <c:v>7</c:v>
                </c:pt>
                <c:pt idx="1">
                  <c:v>9</c:v>
                </c:pt>
                <c:pt idx="2">
                  <c:v>6</c:v>
                </c:pt>
                <c:pt idx="3">
                  <c:v>7</c:v>
                </c:pt>
                <c:pt idx="4">
                  <c:v>9</c:v>
                </c:pt>
                <c:pt idx="5">
                  <c:v>6</c:v>
                </c:pt>
              </c:numCache>
            </c:numRef>
          </c:val>
          <c:extLst>
            <c:ext xmlns:c16="http://schemas.microsoft.com/office/drawing/2014/chart" uri="{C3380CC4-5D6E-409C-BE32-E72D297353CC}">
              <c16:uniqueId val="{00000009-C8F8-4F0C-9BE6-7B6EC86BAA47}"/>
            </c:ext>
          </c:extLst>
        </c:ser>
        <c:ser>
          <c:idx val="4"/>
          <c:order val="4"/>
          <c:tx>
            <c:strRef>
              <c:f>Dashboard!$F$118:$F$119</c:f>
              <c:strCache>
                <c:ptCount val="1"/>
                <c:pt idx="0">
                  <c:v>Theft</c:v>
                </c:pt>
              </c:strCache>
            </c:strRef>
          </c:tx>
          <c:spPr>
            <a:solidFill>
              <a:schemeClr val="accent5"/>
            </a:solidFill>
            <a:ln>
              <a:noFill/>
            </a:ln>
            <a:effectLst/>
          </c:spPr>
          <c:invertIfNegative val="0"/>
          <c:cat>
            <c:strRef>
              <c:f>Dashboard!$A$120:$A$126</c:f>
              <c:strCache>
                <c:ptCount val="6"/>
                <c:pt idx="0">
                  <c:v>Daynile</c:v>
                </c:pt>
                <c:pt idx="1">
                  <c:v>Hodan</c:v>
                </c:pt>
                <c:pt idx="2">
                  <c:v>Karan</c:v>
                </c:pt>
                <c:pt idx="3">
                  <c:v>Waberi</c:v>
                </c:pt>
                <c:pt idx="4">
                  <c:v>Wadajir</c:v>
                </c:pt>
                <c:pt idx="5">
                  <c:v>Yaqshid</c:v>
                </c:pt>
              </c:strCache>
            </c:strRef>
          </c:cat>
          <c:val>
            <c:numRef>
              <c:f>Dashboard!$F$120:$F$126</c:f>
              <c:numCache>
                <c:formatCode>General</c:formatCode>
                <c:ptCount val="6"/>
                <c:pt idx="0">
                  <c:v>8</c:v>
                </c:pt>
                <c:pt idx="1">
                  <c:v>24</c:v>
                </c:pt>
                <c:pt idx="2">
                  <c:v>10</c:v>
                </c:pt>
                <c:pt idx="3">
                  <c:v>10</c:v>
                </c:pt>
                <c:pt idx="4">
                  <c:v>21</c:v>
                </c:pt>
                <c:pt idx="5">
                  <c:v>12</c:v>
                </c:pt>
              </c:numCache>
            </c:numRef>
          </c:val>
          <c:extLst>
            <c:ext xmlns:c16="http://schemas.microsoft.com/office/drawing/2014/chart" uri="{C3380CC4-5D6E-409C-BE32-E72D297353CC}">
              <c16:uniqueId val="{0000000A-C8F8-4F0C-9BE6-7B6EC86BAA47}"/>
            </c:ext>
          </c:extLst>
        </c:ser>
        <c:ser>
          <c:idx val="5"/>
          <c:order val="5"/>
          <c:tx>
            <c:strRef>
              <c:f>Dashboard!$G$118:$G$119</c:f>
              <c:strCache>
                <c:ptCount val="1"/>
                <c:pt idx="0">
                  <c:v>Traffic Offense</c:v>
                </c:pt>
              </c:strCache>
            </c:strRef>
          </c:tx>
          <c:spPr>
            <a:solidFill>
              <a:schemeClr val="accent6"/>
            </a:solidFill>
            <a:ln>
              <a:noFill/>
            </a:ln>
            <a:effectLst/>
          </c:spPr>
          <c:invertIfNegative val="0"/>
          <c:cat>
            <c:strRef>
              <c:f>Dashboard!$A$120:$A$126</c:f>
              <c:strCache>
                <c:ptCount val="6"/>
                <c:pt idx="0">
                  <c:v>Daynile</c:v>
                </c:pt>
                <c:pt idx="1">
                  <c:v>Hodan</c:v>
                </c:pt>
                <c:pt idx="2">
                  <c:v>Karan</c:v>
                </c:pt>
                <c:pt idx="3">
                  <c:v>Waberi</c:v>
                </c:pt>
                <c:pt idx="4">
                  <c:v>Wadajir</c:v>
                </c:pt>
                <c:pt idx="5">
                  <c:v>Yaqshid</c:v>
                </c:pt>
              </c:strCache>
            </c:strRef>
          </c:cat>
          <c:val>
            <c:numRef>
              <c:f>Dashboard!$G$120:$G$126</c:f>
              <c:numCache>
                <c:formatCode>General</c:formatCode>
                <c:ptCount val="6"/>
                <c:pt idx="0">
                  <c:v>5</c:v>
                </c:pt>
                <c:pt idx="1">
                  <c:v>7</c:v>
                </c:pt>
                <c:pt idx="2">
                  <c:v>4</c:v>
                </c:pt>
                <c:pt idx="3">
                  <c:v>5</c:v>
                </c:pt>
                <c:pt idx="4">
                  <c:v>5</c:v>
                </c:pt>
                <c:pt idx="5">
                  <c:v>2</c:v>
                </c:pt>
              </c:numCache>
            </c:numRef>
          </c:val>
          <c:extLst>
            <c:ext xmlns:c16="http://schemas.microsoft.com/office/drawing/2014/chart" uri="{C3380CC4-5D6E-409C-BE32-E72D297353CC}">
              <c16:uniqueId val="{0000000C-C8F8-4F0C-9BE6-7B6EC86BAA47}"/>
            </c:ext>
          </c:extLst>
        </c:ser>
        <c:dLbls>
          <c:showLegendKey val="0"/>
          <c:showVal val="0"/>
          <c:showCatName val="0"/>
          <c:showSerName val="0"/>
          <c:showPercent val="0"/>
          <c:showBubbleSize val="0"/>
        </c:dLbls>
        <c:gapWidth val="219"/>
        <c:overlap val="-27"/>
        <c:axId val="1011826559"/>
        <c:axId val="566492943"/>
      </c:barChart>
      <c:catAx>
        <c:axId val="101182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492943"/>
        <c:crosses val="autoZero"/>
        <c:auto val="1"/>
        <c:lblAlgn val="ctr"/>
        <c:lblOffset val="100"/>
        <c:noMultiLvlLbl val="0"/>
      </c:catAx>
      <c:valAx>
        <c:axId val="566492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826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[CRIME-DATA-ANALYSIS-COMPLA.xlsx]Dashboard!PivotTable4</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Dashboard!$O$65:$O$66</c:f>
              <c:strCache>
                <c:ptCount val="1"/>
                <c:pt idx="0">
                  <c:v>Assault</c:v>
                </c:pt>
              </c:strCache>
            </c:strRef>
          </c:tx>
          <c:spPr>
            <a:solidFill>
              <a:schemeClr val="accent1"/>
            </a:solidFill>
            <a:ln>
              <a:noFill/>
            </a:ln>
            <a:effectLst/>
            <a:sp3d/>
          </c:spPr>
          <c:invertIfNegative val="0"/>
          <c:cat>
            <c:strRef>
              <c:f>Dashboard!$N$67:$N$68</c:f>
              <c:strCache>
                <c:ptCount val="1"/>
                <c:pt idx="0">
                  <c:v>2025</c:v>
                </c:pt>
              </c:strCache>
            </c:strRef>
          </c:cat>
          <c:val>
            <c:numRef>
              <c:f>Dashboard!$O$67:$O$68</c:f>
              <c:numCache>
                <c:formatCode>General</c:formatCode>
                <c:ptCount val="1"/>
                <c:pt idx="0">
                  <c:v>33</c:v>
                </c:pt>
              </c:numCache>
            </c:numRef>
          </c:val>
          <c:extLst>
            <c:ext xmlns:c16="http://schemas.microsoft.com/office/drawing/2014/chart" uri="{C3380CC4-5D6E-409C-BE32-E72D297353CC}">
              <c16:uniqueId val="{00000000-EF6C-47BA-93FA-70F13BA717EF}"/>
            </c:ext>
          </c:extLst>
        </c:ser>
        <c:ser>
          <c:idx val="1"/>
          <c:order val="1"/>
          <c:tx>
            <c:strRef>
              <c:f>Dashboard!$P$65:$P$66</c:f>
              <c:strCache>
                <c:ptCount val="1"/>
                <c:pt idx="0">
                  <c:v>Burglary</c:v>
                </c:pt>
              </c:strCache>
            </c:strRef>
          </c:tx>
          <c:spPr>
            <a:solidFill>
              <a:schemeClr val="accent2"/>
            </a:solidFill>
            <a:ln>
              <a:noFill/>
            </a:ln>
            <a:effectLst/>
            <a:sp3d/>
          </c:spPr>
          <c:invertIfNegative val="0"/>
          <c:cat>
            <c:strRef>
              <c:f>Dashboard!$N$67:$N$68</c:f>
              <c:strCache>
                <c:ptCount val="1"/>
                <c:pt idx="0">
                  <c:v>2025</c:v>
                </c:pt>
              </c:strCache>
            </c:strRef>
          </c:cat>
          <c:val>
            <c:numRef>
              <c:f>Dashboard!$P$67:$P$68</c:f>
              <c:numCache>
                <c:formatCode>General</c:formatCode>
                <c:ptCount val="1"/>
                <c:pt idx="0">
                  <c:v>15</c:v>
                </c:pt>
              </c:numCache>
            </c:numRef>
          </c:val>
          <c:extLst>
            <c:ext xmlns:c16="http://schemas.microsoft.com/office/drawing/2014/chart" uri="{C3380CC4-5D6E-409C-BE32-E72D297353CC}">
              <c16:uniqueId val="{00000001-EF6C-47BA-93FA-70F13BA717EF}"/>
            </c:ext>
          </c:extLst>
        </c:ser>
        <c:ser>
          <c:idx val="2"/>
          <c:order val="2"/>
          <c:tx>
            <c:strRef>
              <c:f>Dashboard!$Q$65:$Q$66</c:f>
              <c:strCache>
                <c:ptCount val="1"/>
                <c:pt idx="0">
                  <c:v>Fraud</c:v>
                </c:pt>
              </c:strCache>
            </c:strRef>
          </c:tx>
          <c:spPr>
            <a:solidFill>
              <a:schemeClr val="accent3"/>
            </a:solidFill>
            <a:ln>
              <a:noFill/>
            </a:ln>
            <a:effectLst/>
            <a:sp3d/>
          </c:spPr>
          <c:invertIfNegative val="0"/>
          <c:cat>
            <c:strRef>
              <c:f>Dashboard!$N$67:$N$68</c:f>
              <c:strCache>
                <c:ptCount val="1"/>
                <c:pt idx="0">
                  <c:v>2025</c:v>
                </c:pt>
              </c:strCache>
            </c:strRef>
          </c:cat>
          <c:val>
            <c:numRef>
              <c:f>Dashboard!$Q$67:$Q$68</c:f>
              <c:numCache>
                <c:formatCode>General</c:formatCode>
                <c:ptCount val="1"/>
                <c:pt idx="0">
                  <c:v>33</c:v>
                </c:pt>
              </c:numCache>
            </c:numRef>
          </c:val>
          <c:extLst>
            <c:ext xmlns:c16="http://schemas.microsoft.com/office/drawing/2014/chart" uri="{C3380CC4-5D6E-409C-BE32-E72D297353CC}">
              <c16:uniqueId val="{00000002-EF6C-47BA-93FA-70F13BA717EF}"/>
            </c:ext>
          </c:extLst>
        </c:ser>
        <c:ser>
          <c:idx val="3"/>
          <c:order val="3"/>
          <c:tx>
            <c:strRef>
              <c:f>Dashboard!$R$65:$R$66</c:f>
              <c:strCache>
                <c:ptCount val="1"/>
                <c:pt idx="0">
                  <c:v>Robbery</c:v>
                </c:pt>
              </c:strCache>
            </c:strRef>
          </c:tx>
          <c:spPr>
            <a:solidFill>
              <a:schemeClr val="accent4"/>
            </a:solidFill>
            <a:ln>
              <a:noFill/>
            </a:ln>
            <a:effectLst/>
            <a:sp3d/>
          </c:spPr>
          <c:invertIfNegative val="0"/>
          <c:cat>
            <c:strRef>
              <c:f>Dashboard!$N$67:$N$68</c:f>
              <c:strCache>
                <c:ptCount val="1"/>
                <c:pt idx="0">
                  <c:v>2025</c:v>
                </c:pt>
              </c:strCache>
            </c:strRef>
          </c:cat>
          <c:val>
            <c:numRef>
              <c:f>Dashboard!$R$67:$R$68</c:f>
              <c:numCache>
                <c:formatCode>General</c:formatCode>
                <c:ptCount val="1"/>
                <c:pt idx="0">
                  <c:v>25</c:v>
                </c:pt>
              </c:numCache>
            </c:numRef>
          </c:val>
          <c:extLst>
            <c:ext xmlns:c16="http://schemas.microsoft.com/office/drawing/2014/chart" uri="{C3380CC4-5D6E-409C-BE32-E72D297353CC}">
              <c16:uniqueId val="{00000003-EF6C-47BA-93FA-70F13BA717EF}"/>
            </c:ext>
          </c:extLst>
        </c:ser>
        <c:ser>
          <c:idx val="4"/>
          <c:order val="4"/>
          <c:tx>
            <c:strRef>
              <c:f>Dashboard!$S$65:$S$66</c:f>
              <c:strCache>
                <c:ptCount val="1"/>
                <c:pt idx="0">
                  <c:v>Theft</c:v>
                </c:pt>
              </c:strCache>
            </c:strRef>
          </c:tx>
          <c:spPr>
            <a:solidFill>
              <a:schemeClr val="accent5"/>
            </a:solidFill>
            <a:ln>
              <a:noFill/>
            </a:ln>
            <a:effectLst/>
            <a:sp3d/>
          </c:spPr>
          <c:invertIfNegative val="0"/>
          <c:cat>
            <c:strRef>
              <c:f>Dashboard!$N$67:$N$68</c:f>
              <c:strCache>
                <c:ptCount val="1"/>
                <c:pt idx="0">
                  <c:v>2025</c:v>
                </c:pt>
              </c:strCache>
            </c:strRef>
          </c:cat>
          <c:val>
            <c:numRef>
              <c:f>Dashboard!$S$67:$S$68</c:f>
              <c:numCache>
                <c:formatCode>General</c:formatCode>
                <c:ptCount val="1"/>
                <c:pt idx="0">
                  <c:v>46</c:v>
                </c:pt>
              </c:numCache>
            </c:numRef>
          </c:val>
          <c:extLst>
            <c:ext xmlns:c16="http://schemas.microsoft.com/office/drawing/2014/chart" uri="{C3380CC4-5D6E-409C-BE32-E72D297353CC}">
              <c16:uniqueId val="{00000004-EF6C-47BA-93FA-70F13BA717EF}"/>
            </c:ext>
          </c:extLst>
        </c:ser>
        <c:ser>
          <c:idx val="5"/>
          <c:order val="5"/>
          <c:tx>
            <c:strRef>
              <c:f>Dashboard!$T$65:$T$66</c:f>
              <c:strCache>
                <c:ptCount val="1"/>
                <c:pt idx="0">
                  <c:v>Traffic Offense</c:v>
                </c:pt>
              </c:strCache>
            </c:strRef>
          </c:tx>
          <c:spPr>
            <a:solidFill>
              <a:schemeClr val="accent6"/>
            </a:solidFill>
            <a:ln>
              <a:noFill/>
            </a:ln>
            <a:effectLst/>
            <a:sp3d/>
          </c:spPr>
          <c:invertIfNegative val="0"/>
          <c:cat>
            <c:strRef>
              <c:f>Dashboard!$N$67:$N$68</c:f>
              <c:strCache>
                <c:ptCount val="1"/>
                <c:pt idx="0">
                  <c:v>2025</c:v>
                </c:pt>
              </c:strCache>
            </c:strRef>
          </c:cat>
          <c:val>
            <c:numRef>
              <c:f>Dashboard!$T$67:$T$68</c:f>
              <c:numCache>
                <c:formatCode>General</c:formatCode>
                <c:ptCount val="1"/>
                <c:pt idx="0">
                  <c:v>17</c:v>
                </c:pt>
              </c:numCache>
            </c:numRef>
          </c:val>
          <c:extLst>
            <c:ext xmlns:c16="http://schemas.microsoft.com/office/drawing/2014/chart" uri="{C3380CC4-5D6E-409C-BE32-E72D297353CC}">
              <c16:uniqueId val="{00000005-EF6C-47BA-93FA-70F13BA717EF}"/>
            </c:ext>
          </c:extLst>
        </c:ser>
        <c:dLbls>
          <c:showLegendKey val="0"/>
          <c:showVal val="0"/>
          <c:showCatName val="0"/>
          <c:showSerName val="0"/>
          <c:showPercent val="0"/>
          <c:showBubbleSize val="0"/>
        </c:dLbls>
        <c:gapWidth val="150"/>
        <c:shape val="box"/>
        <c:axId val="797214607"/>
        <c:axId val="566398383"/>
        <c:axId val="0"/>
      </c:bar3DChart>
      <c:catAx>
        <c:axId val="7972146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98383"/>
        <c:crosses val="autoZero"/>
        <c:auto val="1"/>
        <c:lblAlgn val="ctr"/>
        <c:lblOffset val="100"/>
        <c:noMultiLvlLbl val="0"/>
      </c:catAx>
      <c:valAx>
        <c:axId val="566398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21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[CRIME-DATA-ANALYSIS-COMPLA.xlsx]Dashboard!PivotTable5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Dashboard!$S$118</c:f>
              <c:strCache>
                <c:ptCount val="1"/>
                <c:pt idx="0">
                  <c:v>Total</c:v>
                </c:pt>
              </c:strCache>
            </c:strRef>
          </c:tx>
          <c:spPr>
            <a:solidFill>
              <a:schemeClr val="accent1"/>
            </a:solidFill>
            <a:ln>
              <a:noFill/>
            </a:ln>
            <a:effectLst/>
          </c:spPr>
          <c:invertIfNegative val="0"/>
          <c:cat>
            <c:strRef>
              <c:f>Dashboard!$R$119:$R$122</c:f>
              <c:strCache>
                <c:ptCount val="3"/>
                <c:pt idx="0">
                  <c:v>Female</c:v>
                </c:pt>
                <c:pt idx="1">
                  <c:v>Male</c:v>
                </c:pt>
                <c:pt idx="2">
                  <c:v>Unknown</c:v>
                </c:pt>
              </c:strCache>
            </c:strRef>
          </c:cat>
          <c:val>
            <c:numRef>
              <c:f>Dashboard!$S$119:$S$122</c:f>
              <c:numCache>
                <c:formatCode>General</c:formatCode>
                <c:ptCount val="3"/>
                <c:pt idx="0">
                  <c:v>89</c:v>
                </c:pt>
                <c:pt idx="1">
                  <c:v>160</c:v>
                </c:pt>
                <c:pt idx="2">
                  <c:v>43</c:v>
                </c:pt>
              </c:numCache>
            </c:numRef>
          </c:val>
          <c:extLst>
            <c:ext xmlns:c16="http://schemas.microsoft.com/office/drawing/2014/chart" uri="{C3380CC4-5D6E-409C-BE32-E72D297353CC}">
              <c16:uniqueId val="{00000000-878D-4612-8DC3-5FFE4F6DAC90}"/>
            </c:ext>
          </c:extLst>
        </c:ser>
        <c:dLbls>
          <c:showLegendKey val="0"/>
          <c:showVal val="0"/>
          <c:showCatName val="0"/>
          <c:showSerName val="0"/>
          <c:showPercent val="0"/>
          <c:showBubbleSize val="0"/>
        </c:dLbls>
        <c:gapWidth val="219"/>
        <c:overlap val="-27"/>
        <c:axId val="797207647"/>
        <c:axId val="566453583"/>
      </c:barChart>
      <c:catAx>
        <c:axId val="79720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453583"/>
        <c:crosses val="autoZero"/>
        <c:auto val="1"/>
        <c:lblAlgn val="ctr"/>
        <c:lblOffset val="100"/>
        <c:noMultiLvlLbl val="0"/>
      </c:catAx>
      <c:valAx>
        <c:axId val="566453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207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[CRIME-DATA-ANALYSIS-COMPLA.xlsx]Dashboard!PivotTable2</c:name>
    <c:fmtId val="3"/>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Dashboard!$W$91:$W$92</c:f>
              <c:strCache>
                <c:ptCount val="1"/>
                <c:pt idx="0">
                  <c:v>Assault</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FBC1-47F8-A43A-09AB0688BCF5}"/>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FBC1-47F8-A43A-09AB0688BCF5}"/>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FBC1-47F8-A43A-09AB0688BCF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Dashboard!$V$93:$V$96</c:f>
              <c:strCache>
                <c:ptCount val="3"/>
                <c:pt idx="0">
                  <c:v>Female</c:v>
                </c:pt>
                <c:pt idx="1">
                  <c:v>Male</c:v>
                </c:pt>
                <c:pt idx="2">
                  <c:v>Unknown</c:v>
                </c:pt>
              </c:strCache>
            </c:strRef>
          </c:cat>
          <c:val>
            <c:numRef>
              <c:f>Dashboard!$W$93:$W$96</c:f>
              <c:numCache>
                <c:formatCode>General</c:formatCode>
                <c:ptCount val="3"/>
                <c:pt idx="0">
                  <c:v>17</c:v>
                </c:pt>
                <c:pt idx="1">
                  <c:v>36</c:v>
                </c:pt>
                <c:pt idx="2">
                  <c:v>7</c:v>
                </c:pt>
              </c:numCache>
            </c:numRef>
          </c:val>
          <c:extLst>
            <c:ext xmlns:c16="http://schemas.microsoft.com/office/drawing/2014/chart" uri="{C3380CC4-5D6E-409C-BE32-E72D297353CC}">
              <c16:uniqueId val="{00000000-FBC1-47F8-A43A-09AB0688BCF5}"/>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9</xdr:col>
      <xdr:colOff>698500</xdr:colOff>
      <xdr:row>2</xdr:row>
      <xdr:rowOff>111125</xdr:rowOff>
    </xdr:from>
    <xdr:to>
      <xdr:col>16</xdr:col>
      <xdr:colOff>228600</xdr:colOff>
      <xdr:row>17</xdr:row>
      <xdr:rowOff>92075</xdr:rowOff>
    </xdr:to>
    <xdr:graphicFrame macro="">
      <xdr:nvGraphicFramePr>
        <xdr:cNvPr id="5" name="Chart 4">
          <a:extLst>
            <a:ext uri="{FF2B5EF4-FFF2-40B4-BE49-F238E27FC236}">
              <a16:creationId xmlns:a16="http://schemas.microsoft.com/office/drawing/2014/main" id="{EA9A3EAB-F9A4-9284-D51E-B92797D860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295275</xdr:colOff>
      <xdr:row>0</xdr:row>
      <xdr:rowOff>63500</xdr:rowOff>
    </xdr:from>
    <xdr:to>
      <xdr:col>6</xdr:col>
      <xdr:colOff>866775</xdr:colOff>
      <xdr:row>15</xdr:row>
      <xdr:rowOff>44450</xdr:rowOff>
    </xdr:to>
    <xdr:graphicFrame macro="">
      <xdr:nvGraphicFramePr>
        <xdr:cNvPr id="2" name="Chart 1">
          <a:extLst>
            <a:ext uri="{FF2B5EF4-FFF2-40B4-BE49-F238E27FC236}">
              <a16:creationId xmlns:a16="http://schemas.microsoft.com/office/drawing/2014/main" id="{8E250C62-55F0-9C0C-7C86-1670E9BD09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285750</xdr:colOff>
      <xdr:row>0</xdr:row>
      <xdr:rowOff>133350</xdr:rowOff>
    </xdr:from>
    <xdr:to>
      <xdr:col>17</xdr:col>
      <xdr:colOff>323850</xdr:colOff>
      <xdr:row>3</xdr:row>
      <xdr:rowOff>158750</xdr:rowOff>
    </xdr:to>
    <xdr:sp macro="" textlink="">
      <xdr:nvSpPr>
        <xdr:cNvPr id="2" name="Rectangle: Rounded Corners 1">
          <a:extLst>
            <a:ext uri="{FF2B5EF4-FFF2-40B4-BE49-F238E27FC236}">
              <a16:creationId xmlns:a16="http://schemas.microsoft.com/office/drawing/2014/main" id="{7B9BD901-DA61-94DF-8D38-2890FC8E1848}"/>
            </a:ext>
          </a:extLst>
        </xdr:cNvPr>
        <xdr:cNvSpPr/>
      </xdr:nvSpPr>
      <xdr:spPr>
        <a:xfrm>
          <a:off x="285750" y="133350"/>
          <a:ext cx="10401300" cy="577850"/>
        </a:xfrm>
        <a:prstGeom prst="roundRect">
          <a:avLst/>
        </a:prstGeom>
        <a:solidFill>
          <a:schemeClr val="tx2">
            <a:lumMod val="10000"/>
            <a:lumOff val="9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US" sz="2400" b="1" cap="none" spc="0">
              <a:ln w="0"/>
              <a:solidFill>
                <a:schemeClr val="tx1"/>
              </a:solidFill>
              <a:effectLst>
                <a:outerShdw blurRad="38100" dist="19050" dir="2700000" algn="tl" rotWithShape="0">
                  <a:schemeClr val="dk1">
                    <a:alpha val="40000"/>
                  </a:schemeClr>
                </a:outerShdw>
              </a:effectLst>
              <a:latin typeface="ADLaM Display" panose="02010000000000000000" pitchFamily="2" charset="0"/>
              <a:ea typeface="ADLaM Display" panose="02010000000000000000" pitchFamily="2" charset="0"/>
              <a:cs typeface="ADLaM Display" panose="02010000000000000000" pitchFamily="2" charset="0"/>
            </a:rPr>
            <a:t> CRIME ANALYTICS &amp; DASHBOARD CONTROL CENTER</a:t>
          </a:r>
        </a:p>
      </xdr:txBody>
    </xdr:sp>
    <xdr:clientData/>
  </xdr:twoCellAnchor>
  <xdr:twoCellAnchor>
    <xdr:from>
      <xdr:col>0</xdr:col>
      <xdr:colOff>0</xdr:colOff>
      <xdr:row>11</xdr:row>
      <xdr:rowOff>12894</xdr:rowOff>
    </xdr:from>
    <xdr:to>
      <xdr:col>7</xdr:col>
      <xdr:colOff>325247</xdr:colOff>
      <xdr:row>30</xdr:row>
      <xdr:rowOff>28179</xdr:rowOff>
    </xdr:to>
    <xdr:graphicFrame macro="">
      <xdr:nvGraphicFramePr>
        <xdr:cNvPr id="9" name="Chart 8">
          <a:extLst>
            <a:ext uri="{FF2B5EF4-FFF2-40B4-BE49-F238E27FC236}">
              <a16:creationId xmlns:a16="http://schemas.microsoft.com/office/drawing/2014/main" id="{7F510A62-8AF8-A46E-9CD4-FCD7B020C9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321680</xdr:colOff>
      <xdr:row>11</xdr:row>
      <xdr:rowOff>42843</xdr:rowOff>
    </xdr:from>
    <xdr:to>
      <xdr:col>10</xdr:col>
      <xdr:colOff>217178</xdr:colOff>
      <xdr:row>22</xdr:row>
      <xdr:rowOff>33833</xdr:rowOff>
    </xdr:to>
    <mc:AlternateContent xmlns:mc="http://schemas.openxmlformats.org/markup-compatibility/2006" xmlns:a14="http://schemas.microsoft.com/office/drawing/2010/main">
      <mc:Choice Requires="a14">
        <xdr:graphicFrame macro="">
          <xdr:nvGraphicFramePr>
            <xdr:cNvPr id="10" name="District">
              <a:extLst>
                <a:ext uri="{FF2B5EF4-FFF2-40B4-BE49-F238E27FC236}">
                  <a16:creationId xmlns:a16="http://schemas.microsoft.com/office/drawing/2014/main" id="{35E29C67-E081-7BB9-3A4B-8FA5F1101C1A}"/>
                </a:ext>
              </a:extLst>
            </xdr:cNvPr>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mlns="">
        <xdr:sp macro="" textlink="">
          <xdr:nvSpPr>
            <xdr:cNvPr id="0" name=""/>
            <xdr:cNvSpPr>
              <a:spLocks noTextEdit="1"/>
            </xdr:cNvSpPr>
          </xdr:nvSpPr>
          <xdr:spPr>
            <a:xfrm>
              <a:off x="7067254" y="2197679"/>
              <a:ext cx="1836815" cy="20521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716466</xdr:colOff>
      <xdr:row>10</xdr:row>
      <xdr:rowOff>81865</xdr:rowOff>
    </xdr:from>
    <xdr:to>
      <xdr:col>20</xdr:col>
      <xdr:colOff>476017</xdr:colOff>
      <xdr:row>30</xdr:row>
      <xdr:rowOff>20374</xdr:rowOff>
    </xdr:to>
    <xdr:graphicFrame macro="">
      <xdr:nvGraphicFramePr>
        <xdr:cNvPr id="11" name="Chart 10">
          <a:extLst>
            <a:ext uri="{FF2B5EF4-FFF2-40B4-BE49-F238E27FC236}">
              <a16:creationId xmlns:a16="http://schemas.microsoft.com/office/drawing/2014/main" id="{A5E1FC68-C1E7-3995-58A3-451D2F9D80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39</xdr:row>
      <xdr:rowOff>19110</xdr:rowOff>
    </xdr:from>
    <xdr:to>
      <xdr:col>5</xdr:col>
      <xdr:colOff>473007</xdr:colOff>
      <xdr:row>57</xdr:row>
      <xdr:rowOff>69257</xdr:rowOff>
    </xdr:to>
    <xdr:graphicFrame macro="">
      <xdr:nvGraphicFramePr>
        <xdr:cNvPr id="13" name="Chart 12">
          <a:extLst>
            <a:ext uri="{FF2B5EF4-FFF2-40B4-BE49-F238E27FC236}">
              <a16:creationId xmlns:a16="http://schemas.microsoft.com/office/drawing/2014/main" id="{C97DB88D-6B26-7A6A-0581-F2B97F476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584579</xdr:colOff>
      <xdr:row>10</xdr:row>
      <xdr:rowOff>92188</xdr:rowOff>
    </xdr:from>
    <xdr:to>
      <xdr:col>22</xdr:col>
      <xdr:colOff>528167</xdr:colOff>
      <xdr:row>19</xdr:row>
      <xdr:rowOff>468</xdr:rowOff>
    </xdr:to>
    <mc:AlternateContent xmlns:mc="http://schemas.openxmlformats.org/markup-compatibility/2006" xmlns:a14="http://schemas.microsoft.com/office/drawing/2010/main">
      <mc:Choice Requires="a14">
        <xdr:graphicFrame macro="">
          <xdr:nvGraphicFramePr>
            <xdr:cNvPr id="16" name="Case_Status">
              <a:extLst>
                <a:ext uri="{FF2B5EF4-FFF2-40B4-BE49-F238E27FC236}">
                  <a16:creationId xmlns:a16="http://schemas.microsoft.com/office/drawing/2014/main" id="{82F5E014-D3AD-6E0D-FF4E-B589C06B51C4}"/>
                </a:ext>
              </a:extLst>
            </xdr:cNvPr>
            <xdr:cNvGraphicFramePr/>
          </xdr:nvGraphicFramePr>
          <xdr:xfrm>
            <a:off x="0" y="0"/>
            <a:ext cx="0" cy="0"/>
          </xdr:xfrm>
          <a:graphic>
            <a:graphicData uri="http://schemas.microsoft.com/office/drawing/2010/slicer">
              <sle:slicer xmlns:sle="http://schemas.microsoft.com/office/drawing/2010/slicer" name="Case_Status"/>
            </a:graphicData>
          </a:graphic>
        </xdr:graphicFrame>
      </mc:Choice>
      <mc:Fallback xmlns="">
        <xdr:sp macro="" textlink="">
          <xdr:nvSpPr>
            <xdr:cNvPr id="0" name=""/>
            <xdr:cNvSpPr>
              <a:spLocks noTextEdit="1"/>
            </xdr:cNvSpPr>
          </xdr:nvSpPr>
          <xdr:spPr>
            <a:xfrm>
              <a:off x="17344415" y="2059647"/>
              <a:ext cx="1824221" cy="15946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237967</xdr:colOff>
      <xdr:row>39</xdr:row>
      <xdr:rowOff>202594</xdr:rowOff>
    </xdr:from>
    <xdr:to>
      <xdr:col>6</xdr:col>
      <xdr:colOff>2076567</xdr:colOff>
      <xdr:row>46</xdr:row>
      <xdr:rowOff>122064</xdr:rowOff>
    </xdr:to>
    <mc:AlternateContent xmlns:mc="http://schemas.openxmlformats.org/markup-compatibility/2006" xmlns:a14="http://schemas.microsoft.com/office/drawing/2010/main">
      <mc:Choice Requires="a14">
        <xdr:graphicFrame macro="">
          <xdr:nvGraphicFramePr>
            <xdr:cNvPr id="17" name="Severity_Level">
              <a:extLst>
                <a:ext uri="{FF2B5EF4-FFF2-40B4-BE49-F238E27FC236}">
                  <a16:creationId xmlns:a16="http://schemas.microsoft.com/office/drawing/2014/main" id="{8D8EAD2B-1B90-9BCA-B921-57F6B02A8708}"/>
                </a:ext>
              </a:extLst>
            </xdr:cNvPr>
            <xdr:cNvGraphicFramePr/>
          </xdr:nvGraphicFramePr>
          <xdr:xfrm>
            <a:off x="0" y="0"/>
            <a:ext cx="0" cy="0"/>
          </xdr:xfrm>
          <a:graphic>
            <a:graphicData uri="http://schemas.microsoft.com/office/drawing/2010/slicer">
              <sle:slicer xmlns:sle="http://schemas.microsoft.com/office/drawing/2010/slicer" name="Severity_Level"/>
            </a:graphicData>
          </a:graphic>
        </xdr:graphicFrame>
      </mc:Choice>
      <mc:Fallback xmlns="">
        <xdr:sp macro="" textlink="">
          <xdr:nvSpPr>
            <xdr:cNvPr id="0" name=""/>
            <xdr:cNvSpPr>
              <a:spLocks noTextEdit="1"/>
            </xdr:cNvSpPr>
          </xdr:nvSpPr>
          <xdr:spPr>
            <a:xfrm>
              <a:off x="6223623" y="7770545"/>
              <a:ext cx="1838163" cy="13664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430338</xdr:colOff>
      <xdr:row>41</xdr:row>
      <xdr:rowOff>45824</xdr:rowOff>
    </xdr:from>
    <xdr:to>
      <xdr:col>18</xdr:col>
      <xdr:colOff>324610</xdr:colOff>
      <xdr:row>56</xdr:row>
      <xdr:rowOff>17388</xdr:rowOff>
    </xdr:to>
    <xdr:graphicFrame macro="">
      <xdr:nvGraphicFramePr>
        <xdr:cNvPr id="18" name="Chart 17">
          <a:extLst>
            <a:ext uri="{FF2B5EF4-FFF2-40B4-BE49-F238E27FC236}">
              <a16:creationId xmlns:a16="http://schemas.microsoft.com/office/drawing/2014/main" id="{713F9278-16D2-BF46-D0B1-720BF10EF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561423</xdr:colOff>
      <xdr:row>41</xdr:row>
      <xdr:rowOff>21813</xdr:rowOff>
    </xdr:from>
    <xdr:to>
      <xdr:col>21</xdr:col>
      <xdr:colOff>718063</xdr:colOff>
      <xdr:row>55</xdr:row>
      <xdr:rowOff>56883</xdr:rowOff>
    </xdr:to>
    <mc:AlternateContent xmlns:mc="http://schemas.openxmlformats.org/markup-compatibility/2006" xmlns:a14="http://schemas.microsoft.com/office/drawing/2010/main">
      <mc:Choice Requires="a14">
        <xdr:graphicFrame macro="">
          <xdr:nvGraphicFramePr>
            <xdr:cNvPr id="19" name="Crime_Type">
              <a:extLst>
                <a:ext uri="{FF2B5EF4-FFF2-40B4-BE49-F238E27FC236}">
                  <a16:creationId xmlns:a16="http://schemas.microsoft.com/office/drawing/2014/main" id="{85716A82-8C93-5784-FF69-6B9F3CF01635}"/>
                </a:ext>
              </a:extLst>
            </xdr:cNvPr>
            <xdr:cNvGraphicFramePr/>
          </xdr:nvGraphicFramePr>
          <xdr:xfrm>
            <a:off x="0" y="0"/>
            <a:ext cx="0" cy="0"/>
          </xdr:xfrm>
          <a:graphic>
            <a:graphicData uri="http://schemas.microsoft.com/office/drawing/2010/slicer">
              <sle:slicer xmlns:sle="http://schemas.microsoft.com/office/drawing/2010/slicer" name="Crime_Type"/>
            </a:graphicData>
          </a:graphic>
        </xdr:graphicFrame>
      </mc:Choice>
      <mc:Fallback xmlns="">
        <xdr:sp macro="" textlink="">
          <xdr:nvSpPr>
            <xdr:cNvPr id="0" name=""/>
            <xdr:cNvSpPr>
              <a:spLocks noTextEdit="1"/>
            </xdr:cNvSpPr>
          </xdr:nvSpPr>
          <xdr:spPr>
            <a:xfrm>
              <a:off x="16707079" y="8099846"/>
              <a:ext cx="1829499" cy="26583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63</xdr:row>
      <xdr:rowOff>19020</xdr:rowOff>
    </xdr:from>
    <xdr:to>
      <xdr:col>7</xdr:col>
      <xdr:colOff>165686</xdr:colOff>
      <xdr:row>84</xdr:row>
      <xdr:rowOff>0</xdr:rowOff>
    </xdr:to>
    <xdr:graphicFrame macro="">
      <xdr:nvGraphicFramePr>
        <xdr:cNvPr id="20" name="Chart 19">
          <a:extLst>
            <a:ext uri="{FF2B5EF4-FFF2-40B4-BE49-F238E27FC236}">
              <a16:creationId xmlns:a16="http://schemas.microsoft.com/office/drawing/2014/main" id="{1CE41812-18AC-81F8-6094-6351B0B6F3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379438</xdr:colOff>
      <xdr:row>63</xdr:row>
      <xdr:rowOff>38984</xdr:rowOff>
    </xdr:from>
    <xdr:to>
      <xdr:col>10</xdr:col>
      <xdr:colOff>263152</xdr:colOff>
      <xdr:row>79</xdr:row>
      <xdr:rowOff>32153</xdr:rowOff>
    </xdr:to>
    <mc:AlternateContent xmlns:mc="http://schemas.openxmlformats.org/markup-compatibility/2006" xmlns:a14="http://schemas.microsoft.com/office/drawing/2010/main">
      <mc:Choice Requires="a14">
        <xdr:graphicFrame macro="">
          <xdr:nvGraphicFramePr>
            <xdr:cNvPr id="21" name="Crime_month name">
              <a:extLst>
                <a:ext uri="{FF2B5EF4-FFF2-40B4-BE49-F238E27FC236}">
                  <a16:creationId xmlns:a16="http://schemas.microsoft.com/office/drawing/2014/main" id="{411C5650-2A4B-D566-244A-10D77DAF7825}"/>
                </a:ext>
              </a:extLst>
            </xdr:cNvPr>
            <xdr:cNvGraphicFramePr/>
          </xdr:nvGraphicFramePr>
          <xdr:xfrm>
            <a:off x="0" y="0"/>
            <a:ext cx="0" cy="0"/>
          </xdr:xfrm>
          <a:graphic>
            <a:graphicData uri="http://schemas.microsoft.com/office/drawing/2010/slicer">
              <sle:slicer xmlns:sle="http://schemas.microsoft.com/office/drawing/2010/slicer" name="Crime_month name"/>
            </a:graphicData>
          </a:graphic>
        </xdr:graphicFrame>
      </mc:Choice>
      <mc:Fallback xmlns="">
        <xdr:sp macro="" textlink="">
          <xdr:nvSpPr>
            <xdr:cNvPr id="0" name=""/>
            <xdr:cNvSpPr>
              <a:spLocks noTextEdit="1"/>
            </xdr:cNvSpPr>
          </xdr:nvSpPr>
          <xdr:spPr>
            <a:xfrm>
              <a:off x="7125012" y="12374640"/>
              <a:ext cx="1825031" cy="29912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87</xdr:row>
      <xdr:rowOff>96856</xdr:rowOff>
    </xdr:from>
    <xdr:to>
      <xdr:col>10</xdr:col>
      <xdr:colOff>141810</xdr:colOff>
      <xdr:row>113</xdr:row>
      <xdr:rowOff>134548</xdr:rowOff>
    </xdr:to>
    <xdr:graphicFrame macro="">
      <xdr:nvGraphicFramePr>
        <xdr:cNvPr id="24" name="Chart 23">
          <a:extLst>
            <a:ext uri="{FF2B5EF4-FFF2-40B4-BE49-F238E27FC236}">
              <a16:creationId xmlns:a16="http://schemas.microsoft.com/office/drawing/2014/main" id="{EB36DE22-943E-4A62-68A0-14A5F4ED19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147016</xdr:colOff>
      <xdr:row>86</xdr:row>
      <xdr:rowOff>109446</xdr:rowOff>
    </xdr:from>
    <xdr:to>
      <xdr:col>14</xdr:col>
      <xdr:colOff>836487</xdr:colOff>
      <xdr:row>99</xdr:row>
      <xdr:rowOff>180143</xdr:rowOff>
    </xdr:to>
    <mc:AlternateContent xmlns:mc="http://schemas.openxmlformats.org/markup-compatibility/2006" xmlns:a14="http://schemas.microsoft.com/office/drawing/2010/main">
      <mc:Choice Requires="a14">
        <xdr:graphicFrame macro="">
          <xdr:nvGraphicFramePr>
            <xdr:cNvPr id="25" name="Crime_Type 1">
              <a:extLst>
                <a:ext uri="{FF2B5EF4-FFF2-40B4-BE49-F238E27FC236}">
                  <a16:creationId xmlns:a16="http://schemas.microsoft.com/office/drawing/2014/main" id="{63D22463-D649-692A-C9D7-39311BEA5BA8}"/>
                </a:ext>
              </a:extLst>
            </xdr:cNvPr>
            <xdr:cNvGraphicFramePr/>
          </xdr:nvGraphicFramePr>
          <xdr:xfrm>
            <a:off x="0" y="0"/>
            <a:ext cx="0" cy="0"/>
          </xdr:xfrm>
          <a:graphic>
            <a:graphicData uri="http://schemas.microsoft.com/office/drawing/2010/slicer">
              <sle:slicer xmlns:sle="http://schemas.microsoft.com/office/drawing/2010/slicer" name="Crime_Type 1"/>
            </a:graphicData>
          </a:graphic>
        </xdr:graphicFrame>
      </mc:Choice>
      <mc:Fallback xmlns="">
        <xdr:sp macro="" textlink="">
          <xdr:nvSpPr>
            <xdr:cNvPr id="0" name=""/>
            <xdr:cNvSpPr>
              <a:spLocks noTextEdit="1"/>
            </xdr:cNvSpPr>
          </xdr:nvSpPr>
          <xdr:spPr>
            <a:xfrm>
              <a:off x="11365349" y="16518214"/>
              <a:ext cx="1830631" cy="26106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349972</xdr:colOff>
      <xdr:row>86</xdr:row>
      <xdr:rowOff>161965</xdr:rowOff>
    </xdr:from>
    <xdr:to>
      <xdr:col>13</xdr:col>
      <xdr:colOff>32633</xdr:colOff>
      <xdr:row>100</xdr:row>
      <xdr:rowOff>45048</xdr:rowOff>
    </xdr:to>
    <mc:AlternateContent xmlns:mc="http://schemas.openxmlformats.org/markup-compatibility/2006" xmlns:a14="http://schemas.microsoft.com/office/drawing/2010/main">
      <mc:Choice Requires="a14">
        <xdr:graphicFrame macro="">
          <xdr:nvGraphicFramePr>
            <xdr:cNvPr id="26" name="Victim_Gender">
              <a:extLst>
                <a:ext uri="{FF2B5EF4-FFF2-40B4-BE49-F238E27FC236}">
                  <a16:creationId xmlns:a16="http://schemas.microsoft.com/office/drawing/2014/main" id="{8C8359A1-4438-6FA6-4F46-ED7E765B889F}"/>
                </a:ext>
              </a:extLst>
            </xdr:cNvPr>
            <xdr:cNvGraphicFramePr/>
          </xdr:nvGraphicFramePr>
          <xdr:xfrm>
            <a:off x="0" y="0"/>
            <a:ext cx="0" cy="0"/>
          </xdr:xfrm>
          <a:graphic>
            <a:graphicData uri="http://schemas.microsoft.com/office/drawing/2010/slicer">
              <sle:slicer xmlns:sle="http://schemas.microsoft.com/office/drawing/2010/slicer" name="Victim_Gender"/>
            </a:graphicData>
          </a:graphic>
        </xdr:graphicFrame>
      </mc:Choice>
      <mc:Fallback xmlns="">
        <xdr:sp macro="" textlink="">
          <xdr:nvSpPr>
            <xdr:cNvPr id="0" name=""/>
            <xdr:cNvSpPr>
              <a:spLocks noTextEdit="1"/>
            </xdr:cNvSpPr>
          </xdr:nvSpPr>
          <xdr:spPr>
            <a:xfrm>
              <a:off x="9427349" y="16807293"/>
              <a:ext cx="1837497" cy="26569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21239</xdr:colOff>
      <xdr:row>86</xdr:row>
      <xdr:rowOff>93982</xdr:rowOff>
    </xdr:from>
    <xdr:to>
      <xdr:col>33</xdr:col>
      <xdr:colOff>34744</xdr:colOff>
      <xdr:row>99</xdr:row>
      <xdr:rowOff>161938</xdr:rowOff>
    </xdr:to>
    <mc:AlternateContent xmlns:mc="http://schemas.openxmlformats.org/markup-compatibility/2006" xmlns:a14="http://schemas.microsoft.com/office/drawing/2010/main">
      <mc:Choice Requires="a14">
        <xdr:graphicFrame macro="">
          <xdr:nvGraphicFramePr>
            <xdr:cNvPr id="4" name="Crime_Type 2">
              <a:extLst>
                <a:ext uri="{FF2B5EF4-FFF2-40B4-BE49-F238E27FC236}">
                  <a16:creationId xmlns:a16="http://schemas.microsoft.com/office/drawing/2014/main" id="{4FE73077-9DE0-ADAB-11E9-2EA66508CD00}"/>
                </a:ext>
              </a:extLst>
            </xdr:cNvPr>
            <xdr:cNvGraphicFramePr/>
          </xdr:nvGraphicFramePr>
          <xdr:xfrm>
            <a:off x="0" y="0"/>
            <a:ext cx="0" cy="0"/>
          </xdr:xfrm>
          <a:graphic>
            <a:graphicData uri="http://schemas.microsoft.com/office/drawing/2010/slicer">
              <sle:slicer xmlns:sle="http://schemas.microsoft.com/office/drawing/2010/slicer" name="Crime_Type 2"/>
            </a:graphicData>
          </a:graphic>
        </xdr:graphicFrame>
      </mc:Choice>
      <mc:Fallback xmlns="">
        <xdr:sp macro="" textlink="">
          <xdr:nvSpPr>
            <xdr:cNvPr id="0" name=""/>
            <xdr:cNvSpPr>
              <a:spLocks noTextEdit="1"/>
            </xdr:cNvSpPr>
          </xdr:nvSpPr>
          <xdr:spPr>
            <a:xfrm>
              <a:off x="23755514" y="16502750"/>
              <a:ext cx="1835679" cy="26079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116</xdr:row>
      <xdr:rowOff>143741</xdr:rowOff>
    </xdr:from>
    <xdr:to>
      <xdr:col>8</xdr:col>
      <xdr:colOff>108239</xdr:colOff>
      <xdr:row>137</xdr:row>
      <xdr:rowOff>122670</xdr:rowOff>
    </xdr:to>
    <xdr:graphicFrame macro="">
      <xdr:nvGraphicFramePr>
        <xdr:cNvPr id="6" name="Chart 5">
          <a:extLst>
            <a:ext uri="{FF2B5EF4-FFF2-40B4-BE49-F238E27FC236}">
              <a16:creationId xmlns:a16="http://schemas.microsoft.com/office/drawing/2014/main" id="{40A89686-9B6C-14C9-3371-B66180028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389082</xdr:colOff>
      <xdr:row>117</xdr:row>
      <xdr:rowOff>7793</xdr:rowOff>
    </xdr:from>
    <xdr:to>
      <xdr:col>13</xdr:col>
      <xdr:colOff>688109</xdr:colOff>
      <xdr:row>131</xdr:row>
      <xdr:rowOff>575</xdr:rowOff>
    </xdr:to>
    <mc:AlternateContent xmlns:mc="http://schemas.openxmlformats.org/markup-compatibility/2006" xmlns:a14="http://schemas.microsoft.com/office/drawing/2010/main">
      <mc:Choice Requires="a14">
        <xdr:graphicFrame macro="">
          <xdr:nvGraphicFramePr>
            <xdr:cNvPr id="7" name="Crime_Type 3">
              <a:extLst>
                <a:ext uri="{FF2B5EF4-FFF2-40B4-BE49-F238E27FC236}">
                  <a16:creationId xmlns:a16="http://schemas.microsoft.com/office/drawing/2014/main" id="{9D768701-79ED-3651-3685-A6A581E5B9FF}"/>
                </a:ext>
              </a:extLst>
            </xdr:cNvPr>
            <xdr:cNvGraphicFramePr/>
          </xdr:nvGraphicFramePr>
          <xdr:xfrm>
            <a:off x="0" y="0"/>
            <a:ext cx="0" cy="0"/>
          </xdr:xfrm>
          <a:graphic>
            <a:graphicData uri="http://schemas.microsoft.com/office/drawing/2010/slicer">
              <sle:slicer xmlns:sle="http://schemas.microsoft.com/office/drawing/2010/slicer" name="Crime_Type 3"/>
            </a:graphicData>
          </a:graphic>
        </xdr:graphicFrame>
      </mc:Choice>
      <mc:Fallback xmlns="">
        <xdr:sp macro="" textlink="">
          <xdr:nvSpPr>
            <xdr:cNvPr id="0" name=""/>
            <xdr:cNvSpPr>
              <a:spLocks noTextEdit="1"/>
            </xdr:cNvSpPr>
          </xdr:nvSpPr>
          <xdr:spPr>
            <a:xfrm>
              <a:off x="10070531" y="22352431"/>
              <a:ext cx="1835911" cy="25695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86014</xdr:colOff>
      <xdr:row>117</xdr:row>
      <xdr:rowOff>22225</xdr:rowOff>
    </xdr:from>
    <xdr:to>
      <xdr:col>11</xdr:col>
      <xdr:colOff>96405</xdr:colOff>
      <xdr:row>131</xdr:row>
      <xdr:rowOff>15007</xdr:rowOff>
    </xdr:to>
    <mc:AlternateContent xmlns:mc="http://schemas.openxmlformats.org/markup-compatibility/2006" xmlns:a14="http://schemas.microsoft.com/office/drawing/2010/main">
      <mc:Choice Requires="a14">
        <xdr:graphicFrame macro="">
          <xdr:nvGraphicFramePr>
            <xdr:cNvPr id="8" name="District 1">
              <a:extLst>
                <a:ext uri="{FF2B5EF4-FFF2-40B4-BE49-F238E27FC236}">
                  <a16:creationId xmlns:a16="http://schemas.microsoft.com/office/drawing/2014/main" id="{5FA91687-FB89-0402-727A-31E5342E20B7}"/>
                </a:ext>
              </a:extLst>
            </xdr:cNvPr>
            <xdr:cNvGraphicFramePr/>
          </xdr:nvGraphicFramePr>
          <xdr:xfrm>
            <a:off x="0" y="0"/>
            <a:ext cx="0" cy="0"/>
          </xdr:xfrm>
          <a:graphic>
            <a:graphicData uri="http://schemas.microsoft.com/office/drawing/2010/slicer">
              <sle:slicer xmlns:sle="http://schemas.microsoft.com/office/drawing/2010/slicer" name="District 1"/>
            </a:graphicData>
          </a:graphic>
        </xdr:graphicFrame>
      </mc:Choice>
      <mc:Fallback xmlns="">
        <xdr:sp macro="" textlink="">
          <xdr:nvSpPr>
            <xdr:cNvPr id="0" name=""/>
            <xdr:cNvSpPr>
              <a:spLocks noTextEdit="1"/>
            </xdr:cNvSpPr>
          </xdr:nvSpPr>
          <xdr:spPr>
            <a:xfrm>
              <a:off x="7945289" y="22366863"/>
              <a:ext cx="1832565" cy="25695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481299</xdr:colOff>
      <xdr:row>62</xdr:row>
      <xdr:rowOff>165387</xdr:rowOff>
    </xdr:from>
    <xdr:to>
      <xdr:col>22</xdr:col>
      <xdr:colOff>158749</xdr:colOff>
      <xdr:row>85</xdr:row>
      <xdr:rowOff>7214</xdr:rowOff>
    </xdr:to>
    <xdr:graphicFrame macro="">
      <xdr:nvGraphicFramePr>
        <xdr:cNvPr id="12" name="Chart 11">
          <a:extLst>
            <a:ext uri="{FF2B5EF4-FFF2-40B4-BE49-F238E27FC236}">
              <a16:creationId xmlns:a16="http://schemas.microsoft.com/office/drawing/2014/main" id="{BBB09097-2670-C96B-B2F5-2F815048DE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27</xdr:col>
      <xdr:colOff>375227</xdr:colOff>
      <xdr:row>62</xdr:row>
      <xdr:rowOff>164812</xdr:rowOff>
    </xdr:from>
    <xdr:to>
      <xdr:col>29</xdr:col>
      <xdr:colOff>568003</xdr:colOff>
      <xdr:row>76</xdr:row>
      <xdr:rowOff>157594</xdr:rowOff>
    </xdr:to>
    <mc:AlternateContent xmlns:mc="http://schemas.openxmlformats.org/markup-compatibility/2006" xmlns:a14="http://schemas.microsoft.com/office/drawing/2010/main">
      <mc:Choice Requires="a14">
        <xdr:graphicFrame macro="">
          <xdr:nvGraphicFramePr>
            <xdr:cNvPr id="14" name="Crime_Type 4">
              <a:extLst>
                <a:ext uri="{FF2B5EF4-FFF2-40B4-BE49-F238E27FC236}">
                  <a16:creationId xmlns:a16="http://schemas.microsoft.com/office/drawing/2014/main" id="{C558859F-1B3A-04D2-25BD-C420F62AF299}"/>
                </a:ext>
              </a:extLst>
            </xdr:cNvPr>
            <xdr:cNvGraphicFramePr/>
          </xdr:nvGraphicFramePr>
          <xdr:xfrm>
            <a:off x="0" y="0"/>
            <a:ext cx="0" cy="0"/>
          </xdr:xfrm>
          <a:graphic>
            <a:graphicData uri="http://schemas.microsoft.com/office/drawing/2010/slicer">
              <sle:slicer xmlns:sle="http://schemas.microsoft.com/office/drawing/2010/slicer" name="Crime_Type 4"/>
            </a:graphicData>
          </a:graphic>
        </xdr:graphicFrame>
      </mc:Choice>
      <mc:Fallback xmlns="">
        <xdr:sp macro="" textlink="">
          <xdr:nvSpPr>
            <xdr:cNvPr id="0" name=""/>
            <xdr:cNvSpPr>
              <a:spLocks noTextEdit="1"/>
            </xdr:cNvSpPr>
          </xdr:nvSpPr>
          <xdr:spPr>
            <a:xfrm>
              <a:off x="21845589" y="12156189"/>
              <a:ext cx="1849298" cy="25695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916420</xdr:colOff>
      <xdr:row>63</xdr:row>
      <xdr:rowOff>34925</xdr:rowOff>
    </xdr:from>
    <xdr:to>
      <xdr:col>25</xdr:col>
      <xdr:colOff>469805</xdr:colOff>
      <xdr:row>77</xdr:row>
      <xdr:rowOff>27707</xdr:rowOff>
    </xdr:to>
    <mc:AlternateContent xmlns:mc="http://schemas.openxmlformats.org/markup-compatibility/2006" xmlns:a14="http://schemas.microsoft.com/office/drawing/2010/main">
      <mc:Choice Requires="a14">
        <xdr:graphicFrame macro="">
          <xdr:nvGraphicFramePr>
            <xdr:cNvPr id="15" name="Crime_Year 1">
              <a:extLst>
                <a:ext uri="{FF2B5EF4-FFF2-40B4-BE49-F238E27FC236}">
                  <a16:creationId xmlns:a16="http://schemas.microsoft.com/office/drawing/2014/main" id="{AE72C6ED-9017-F348-62F4-84CFC61BEF69}"/>
                </a:ext>
              </a:extLst>
            </xdr:cNvPr>
            <xdr:cNvGraphicFramePr/>
          </xdr:nvGraphicFramePr>
          <xdr:xfrm>
            <a:off x="0" y="0"/>
            <a:ext cx="0" cy="0"/>
          </xdr:xfrm>
          <a:graphic>
            <a:graphicData uri="http://schemas.microsoft.com/office/drawing/2010/slicer">
              <sle:slicer xmlns:sle="http://schemas.microsoft.com/office/drawing/2010/slicer" name="Crime_Year 1"/>
            </a:graphicData>
          </a:graphic>
        </xdr:graphicFrame>
      </mc:Choice>
      <mc:Fallback xmlns="">
        <xdr:sp macro="" textlink="">
          <xdr:nvSpPr>
            <xdr:cNvPr id="0" name=""/>
            <xdr:cNvSpPr>
              <a:spLocks noTextEdit="1"/>
            </xdr:cNvSpPr>
          </xdr:nvSpPr>
          <xdr:spPr>
            <a:xfrm>
              <a:off x="19174971" y="12210360"/>
              <a:ext cx="1844906" cy="25695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425987</xdr:colOff>
      <xdr:row>115</xdr:row>
      <xdr:rowOff>110598</xdr:rowOff>
    </xdr:from>
    <xdr:to>
      <xdr:col>21</xdr:col>
      <xdr:colOff>242454</xdr:colOff>
      <xdr:row>130</xdr:row>
      <xdr:rowOff>145394</xdr:rowOff>
    </xdr:to>
    <xdr:graphicFrame macro="">
      <xdr:nvGraphicFramePr>
        <xdr:cNvPr id="22" name="Chart 21">
          <a:extLst>
            <a:ext uri="{FF2B5EF4-FFF2-40B4-BE49-F238E27FC236}">
              <a16:creationId xmlns:a16="http://schemas.microsoft.com/office/drawing/2014/main" id="{077B18BD-E4F9-28DA-9F94-B3B3C113D3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390237</xdr:colOff>
      <xdr:row>22</xdr:row>
      <xdr:rowOff>94095</xdr:rowOff>
    </xdr:from>
    <xdr:to>
      <xdr:col>10</xdr:col>
      <xdr:colOff>267855</xdr:colOff>
      <xdr:row>30</xdr:row>
      <xdr:rowOff>57727</xdr:rowOff>
    </xdr:to>
    <mc:AlternateContent xmlns:mc="http://schemas.openxmlformats.org/markup-compatibility/2006" xmlns:a14="http://schemas.microsoft.com/office/drawing/2010/main">
      <mc:Choice Requires="a14">
        <xdr:graphicFrame macro="">
          <xdr:nvGraphicFramePr>
            <xdr:cNvPr id="23" name="Crime_Type 5">
              <a:extLst>
                <a:ext uri="{FF2B5EF4-FFF2-40B4-BE49-F238E27FC236}">
                  <a16:creationId xmlns:a16="http://schemas.microsoft.com/office/drawing/2014/main" id="{2904AFFE-9DF7-AEA1-1500-1AE9FAAFB27F}"/>
                </a:ext>
              </a:extLst>
            </xdr:cNvPr>
            <xdr:cNvGraphicFramePr/>
          </xdr:nvGraphicFramePr>
          <xdr:xfrm>
            <a:off x="0" y="0"/>
            <a:ext cx="0" cy="0"/>
          </xdr:xfrm>
          <a:graphic>
            <a:graphicData uri="http://schemas.microsoft.com/office/drawing/2010/slicer">
              <sle:slicer xmlns:sle="http://schemas.microsoft.com/office/drawing/2010/slicer" name="Crime_Type 5"/>
            </a:graphicData>
          </a:graphic>
        </xdr:graphicFrame>
      </mc:Choice>
      <mc:Fallback xmlns="">
        <xdr:sp macro="" textlink="">
          <xdr:nvSpPr>
            <xdr:cNvPr id="0" name=""/>
            <xdr:cNvSpPr>
              <a:spLocks noTextEdit="1"/>
            </xdr:cNvSpPr>
          </xdr:nvSpPr>
          <xdr:spPr>
            <a:xfrm>
              <a:off x="7522483" y="4253805"/>
              <a:ext cx="1819430" cy="14360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23927</xdr:colOff>
      <xdr:row>87</xdr:row>
      <xdr:rowOff>114667</xdr:rowOff>
    </xdr:from>
    <xdr:to>
      <xdr:col>29</xdr:col>
      <xdr:colOff>257680</xdr:colOff>
      <xdr:row>104</xdr:row>
      <xdr:rowOff>147246</xdr:rowOff>
    </xdr:to>
    <xdr:graphicFrame macro="">
      <xdr:nvGraphicFramePr>
        <xdr:cNvPr id="27" name="Chart 26">
          <a:extLst>
            <a:ext uri="{FF2B5EF4-FFF2-40B4-BE49-F238E27FC236}">
              <a16:creationId xmlns:a16="http://schemas.microsoft.com/office/drawing/2014/main" id="{52C98FFF-93D5-DA0A-D1A8-00B0571565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33</xdr:col>
      <xdr:colOff>313543</xdr:colOff>
      <xdr:row>86</xdr:row>
      <xdr:rowOff>195286</xdr:rowOff>
    </xdr:from>
    <xdr:to>
      <xdr:col>36</xdr:col>
      <xdr:colOff>320169</xdr:colOff>
      <xdr:row>100</xdr:row>
      <xdr:rowOff>90600</xdr:rowOff>
    </xdr:to>
    <mc:AlternateContent xmlns:mc="http://schemas.openxmlformats.org/markup-compatibility/2006" xmlns:a14="http://schemas.microsoft.com/office/drawing/2010/main">
      <mc:Choice Requires="a14">
        <xdr:graphicFrame macro="">
          <xdr:nvGraphicFramePr>
            <xdr:cNvPr id="29" name="Victim_Gender 1">
              <a:extLst>
                <a:ext uri="{FF2B5EF4-FFF2-40B4-BE49-F238E27FC236}">
                  <a16:creationId xmlns:a16="http://schemas.microsoft.com/office/drawing/2014/main" id="{22F053D2-882A-EF4C-D59A-DF6710407306}"/>
                </a:ext>
              </a:extLst>
            </xdr:cNvPr>
            <xdr:cNvGraphicFramePr/>
          </xdr:nvGraphicFramePr>
          <xdr:xfrm>
            <a:off x="0" y="0"/>
            <a:ext cx="0" cy="0"/>
          </xdr:xfrm>
          <a:graphic>
            <a:graphicData uri="http://schemas.microsoft.com/office/drawing/2010/slicer">
              <sle:slicer xmlns:sle="http://schemas.microsoft.com/office/drawing/2010/slicer" name="Victim_Gender 1"/>
            </a:graphicData>
          </a:graphic>
        </xdr:graphicFrame>
      </mc:Choice>
      <mc:Fallback xmlns="">
        <xdr:sp macro="" textlink="">
          <xdr:nvSpPr>
            <xdr:cNvPr id="0" name=""/>
            <xdr:cNvSpPr>
              <a:spLocks noTextEdit="1"/>
            </xdr:cNvSpPr>
          </xdr:nvSpPr>
          <xdr:spPr>
            <a:xfrm>
              <a:off x="25869992" y="16604054"/>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uSHuu" refreshedDate="46259.480118981483" createdVersion="8" refreshedVersion="8" minRefreshableVersion="3" recordCount="293" xr:uid="{FBDCECEC-34FC-4F6E-9163-DEB4086A413B}">
  <cacheSource type="worksheet">
    <worksheetSource name="Table1"/>
  </cacheSource>
  <cacheFields count="14">
    <cacheField name="Crime_ID" numFmtId="0">
      <sharedItems containsBlank="1"/>
    </cacheField>
    <cacheField name="Crime_Date" numFmtId="164">
      <sharedItems containsNonDate="0" containsDate="1" containsString="0" containsBlank="1" minDate="2025-01-07T00:00:00" maxDate="2026-08-01T00:00:00"/>
    </cacheField>
    <cacheField name="Crime_Type" numFmtId="0">
      <sharedItems count="6">
        <s v="Assault"/>
        <s v="Robbery"/>
        <s v="Theft"/>
        <s v="Traffic Offense"/>
        <s v="Burglary"/>
        <s v="Fraud"/>
      </sharedItems>
    </cacheField>
    <cacheField name="District" numFmtId="0">
      <sharedItems/>
    </cacheField>
    <cacheField name="Victim_Gender" numFmtId="0">
      <sharedItems/>
    </cacheField>
    <cacheField name="Case_Status" numFmtId="0">
      <sharedItems/>
    </cacheField>
    <cacheField name="Severity_Level" numFmtId="0">
      <sharedItems/>
    </cacheField>
    <cacheField name="Crime_Year" numFmtId="0">
      <sharedItems containsMixedTypes="1" containsNumber="1" containsInteger="1" minValue="2025" maxValue="2026"/>
    </cacheField>
    <cacheField name="Crime_month" numFmtId="0">
      <sharedItems containsMixedTypes="1" containsNumber="1" containsInteger="1" minValue="1" maxValue="12"/>
    </cacheField>
    <cacheField name="Crime_month name" numFmtId="0">
      <sharedItems/>
    </cacheField>
    <cacheField name="Data_Quality_Flag" numFmtId="0">
      <sharedItems/>
    </cacheField>
    <cacheField name="Duplicate_Flag" numFmtId="0">
      <sharedItems/>
    </cacheField>
    <cacheField name="Record_Status" numFmtId="0">
      <sharedItems/>
    </cacheField>
    <cacheField name="concat"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uSHuu" refreshedDate="46259.481221064816" createdVersion="8" refreshedVersion="8" minRefreshableVersion="3" recordCount="293" xr:uid="{7ECFF666-31B6-43ED-8C85-2AB29336CEE3}">
  <cacheSource type="worksheet">
    <worksheetSource name="Table1"/>
  </cacheSource>
  <cacheFields count="17">
    <cacheField name="Crime_ID" numFmtId="0">
      <sharedItems containsBlank="1"/>
    </cacheField>
    <cacheField name="Crime_Date" numFmtId="164">
      <sharedItems containsNonDate="0" containsDate="1" containsString="0" containsBlank="1" minDate="2025-01-07T00:00:00" maxDate="2026-08-01T00:00:00" count="228">
        <d v="2026-07-12T00:00:00"/>
        <d v="2025-06-14T00:00:00"/>
        <d v="2025-12-26T00:00:00"/>
        <d v="2025-06-24T00:00:00"/>
        <d v="2026-01-23T00:00:00"/>
        <d v="2026-01-17T00:00:00"/>
        <d v="2026-05-17T00:00:00"/>
        <d v="2025-07-12T00:00:00"/>
        <d v="2026-07-01T00:00:00"/>
        <d v="2026-02-10T00:00:00"/>
        <d v="2025-04-01T00:00:00"/>
        <d v="2026-05-19T00:00:00"/>
        <d v="2026-01-28T00:00:00"/>
        <d v="2025-10-21T00:00:00"/>
        <d v="2025-12-01T00:00:00"/>
        <d v="2025-09-12T00:00:00"/>
        <d v="2026-06-03T00:00:00"/>
        <d v="2025-02-26T00:00:00"/>
        <d v="2026-02-06T00:00:00"/>
        <d v="2025-11-22T00:00:00"/>
        <d v="2025-03-20T00:00:00"/>
        <d v="2025-01-23T00:00:00"/>
        <d v="2025-08-13T00:00:00"/>
        <d v="2025-10-03T00:00:00"/>
        <d v="2025-10-15T00:00:00"/>
        <d v="2025-06-17T00:00:00"/>
        <d v="2025-09-15T00:00:00"/>
        <d v="2025-07-06T00:00:00"/>
        <d v="2025-12-14T00:00:00"/>
        <d v="2026-01-15T00:00:00"/>
        <d v="2026-05-20T00:00:00"/>
        <d v="2025-08-08T00:00:00"/>
        <d v="2026-04-08T00:00:00"/>
        <d v="2026-02-05T00:00:00"/>
        <d v="2025-10-20T00:00:00"/>
        <d v="2026-01-21T00:00:00"/>
        <d v="2025-05-04T00:00:00"/>
        <d v="2025-02-17T00:00:00"/>
        <d v="2025-04-28T00:00:00"/>
        <d v="2025-01-07T00:00:00"/>
        <d v="2026-01-20T00:00:00"/>
        <d v="2025-02-27T00:00:00"/>
        <d v="2025-08-02T00:00:00"/>
        <d v="2026-06-05T00:00:00"/>
        <d v="2026-05-07T00:00:00"/>
        <d v="2026-02-03T00:00:00"/>
        <d v="2026-01-13T00:00:00"/>
        <d v="2026-04-24T00:00:00"/>
        <d v="2026-02-15T00:00:00"/>
        <d v="2025-01-22T00:00:00"/>
        <d v="2025-07-22T00:00:00"/>
        <d v="2025-04-17T00:00:00"/>
        <d v="2025-04-25T00:00:00"/>
        <d v="2026-02-27T00:00:00"/>
        <d v="2025-03-03T00:00:00"/>
        <d v="2026-05-02T00:00:00"/>
        <d v="2026-03-11T00:00:00"/>
        <d v="2025-04-14T00:00:00"/>
        <d v="2025-10-14T00:00:00"/>
        <d v="2025-03-27T00:00:00"/>
        <d v="2026-02-02T00:00:00"/>
        <d v="2025-03-15T00:00:00"/>
        <d v="2025-02-24T00:00:00"/>
        <d v="2025-08-31T00:00:00"/>
        <d v="2026-02-21T00:00:00"/>
        <d v="2025-06-26T00:00:00"/>
        <d v="2026-05-25T00:00:00"/>
        <d v="2026-03-27T00:00:00"/>
        <d v="2025-11-03T00:00:00"/>
        <d v="2026-07-22T00:00:00"/>
        <d v="2026-05-05T00:00:00"/>
        <d v="2025-01-10T00:00:00"/>
        <d v="2025-12-28T00:00:00"/>
        <d v="2026-02-07T00:00:00"/>
        <d v="2026-02-20T00:00:00"/>
        <d v="2025-09-02T00:00:00"/>
        <d v="2025-02-09T00:00:00"/>
        <d v="2025-07-15T00:00:00"/>
        <d v="2025-07-31T00:00:00"/>
        <d v="2025-09-23T00:00:00"/>
        <d v="2025-11-14T00:00:00"/>
        <d v="2025-04-08T00:00:00"/>
        <d v="2025-06-25T00:00:00"/>
        <d v="2025-09-24T00:00:00"/>
        <d v="2026-03-22T00:00:00"/>
        <d v="2026-04-11T00:00:00"/>
        <d v="2025-08-11T00:00:00"/>
        <d v="2026-06-25T00:00:00"/>
        <d v="2026-04-25T00:00:00"/>
        <d v="2025-02-13T00:00:00"/>
        <d v="2025-06-23T00:00:00"/>
        <d v="2026-05-15T00:00:00"/>
        <d v="2026-02-13T00:00:00"/>
        <d v="2025-03-11T00:00:00"/>
        <d v="2026-06-09T00:00:00"/>
        <d v="2025-04-18T00:00:00"/>
        <d v="2025-05-27T00:00:00"/>
        <d v="2025-06-16T00:00:00"/>
        <d v="2025-09-01T00:00:00"/>
        <d v="2025-01-12T00:00:00"/>
        <d v="2025-11-09T00:00:00"/>
        <d v="2026-01-08T00:00:00"/>
        <d v="2026-07-20T00:00:00"/>
        <d v="2026-01-03T00:00:00"/>
        <d v="2025-07-19T00:00:00"/>
        <d v="2025-07-07T00:00:00"/>
        <d v="2025-12-06T00:00:00"/>
        <d v="2025-04-23T00:00:00"/>
        <d v="2025-04-20T00:00:00"/>
        <d v="2025-06-18T00:00:00"/>
        <d v="2026-04-21T00:00:00"/>
        <d v="2025-02-02T00:00:00"/>
        <d v="2026-05-13T00:00:00"/>
        <d v="2026-05-30T00:00:00"/>
        <d v="2025-05-29T00:00:00"/>
        <d v="2025-01-11T00:00:00"/>
        <d v="2025-11-16T00:00:00"/>
        <d v="2025-10-05T00:00:00"/>
        <d v="2026-05-18T00:00:00"/>
        <d v="2025-10-27T00:00:00"/>
        <d v="2025-02-25T00:00:00"/>
        <d v="2025-09-19T00:00:00"/>
        <d v="2026-05-14T00:00:00"/>
        <d v="2026-07-06T00:00:00"/>
        <d v="2026-01-29T00:00:00"/>
        <d v="2026-04-06T00:00:00"/>
        <d v="2025-12-27T00:00:00"/>
        <d v="2026-05-08T00:00:00"/>
        <d v="2025-08-07T00:00:00"/>
        <d v="2026-02-26T00:00:00"/>
        <d v="2026-05-26T00:00:00"/>
        <d v="2026-03-06T00:00:00"/>
        <d v="2025-01-14T00:00:00"/>
        <d v="2026-05-10T00:00:00"/>
        <d v="2026-03-17T00:00:00"/>
        <d v="2026-05-12T00:00:00"/>
        <d v="2025-03-07T00:00:00"/>
        <d v="2025-07-28T00:00:00"/>
        <d v="2026-02-01T00:00:00"/>
        <d v="2026-06-26T00:00:00"/>
        <d v="2026-07-29T00:00:00"/>
        <d v="2026-05-03T00:00:00"/>
        <d v="2026-01-12T00:00:00"/>
        <d v="2026-04-16T00:00:00"/>
        <d v="2025-05-26T00:00:00"/>
        <d v="2025-01-21T00:00:00"/>
        <d v="2025-12-12T00:00:00"/>
        <d v="2025-07-26T00:00:00"/>
        <d v="2025-11-13T00:00:00"/>
        <d v="2026-07-31T00:00:00"/>
        <d v="2025-04-07T00:00:00"/>
        <d v="2025-11-23T00:00:00"/>
        <d v="2025-08-01T00:00:00"/>
        <d v="2026-05-29T00:00:00"/>
        <d v="2026-03-23T00:00:00"/>
        <d v="2025-08-24T00:00:00"/>
        <d v="2026-04-18T00:00:00"/>
        <d v="2025-05-16T00:00:00"/>
        <d v="2026-02-14T00:00:00"/>
        <d v="2025-10-30T00:00:00"/>
        <d v="2025-03-13T00:00:00"/>
        <d v="2025-08-15T00:00:00"/>
        <d v="2026-04-17T00:00:00"/>
        <d v="2025-05-07T00:00:00"/>
        <d v="2026-07-13T00:00:00"/>
        <d v="2026-02-08T00:00:00"/>
        <d v="2025-05-30T00:00:00"/>
        <d v="2026-03-10T00:00:00"/>
        <d v="2026-04-15T00:00:00"/>
        <d v="2025-12-04T00:00:00"/>
        <d v="2025-09-30T00:00:00"/>
        <d v="2025-09-09T00:00:00"/>
        <d v="2025-12-09T00:00:00"/>
        <d v="2025-01-25T00:00:00"/>
        <d v="2025-06-22T00:00:00"/>
        <d v="2026-05-01T00:00:00"/>
        <d v="2025-11-30T00:00:00"/>
        <d v="2025-12-11T00:00:00"/>
        <d v="2025-02-06T00:00:00"/>
        <d v="2026-01-22T00:00:00"/>
        <d v="2025-08-20T00:00:00"/>
        <d v="2025-11-27T00:00:00"/>
        <d v="2025-08-16T00:00:00"/>
        <d v="2025-07-29T00:00:00"/>
        <d v="2026-07-03T00:00:00"/>
        <d v="2025-02-22T00:00:00"/>
        <d v="2025-03-30T00:00:00"/>
        <d v="2025-01-24T00:00:00"/>
        <d v="2025-09-08T00:00:00"/>
        <d v="2025-07-11T00:00:00"/>
        <d v="2025-02-03T00:00:00"/>
        <d v="2025-09-21T00:00:00"/>
        <d v="2026-07-27T00:00:00"/>
        <d v="2026-07-05T00:00:00"/>
        <d v="2025-12-17T00:00:00"/>
        <d v="2025-12-25T00:00:00"/>
        <d v="2025-09-22T00:00:00"/>
        <d v="2026-07-15T00:00:00"/>
        <d v="2025-07-10T00:00:00"/>
        <d v="2026-01-30T00:00:00"/>
        <d v="2025-06-09T00:00:00"/>
        <d v="2026-07-19T00:00:00"/>
        <d v="2026-04-12T00:00:00"/>
        <d v="2026-02-28T00:00:00"/>
        <d v="2025-08-28T00:00:00"/>
        <d v="2025-08-10T00:00:00"/>
        <d v="2025-02-14T00:00:00"/>
        <d v="2025-03-17T00:00:00"/>
        <d v="2025-05-05T00:00:00"/>
        <d v="2025-04-27T00:00:00"/>
        <d v="2025-02-23T00:00:00"/>
        <d v="2026-06-13T00:00:00"/>
        <d v="2025-11-10T00:00:00"/>
        <d v="2026-03-03T00:00:00"/>
        <d v="2026-03-07T00:00:00"/>
        <d v="2025-06-08T00:00:00"/>
        <d v="2025-10-02T00:00:00"/>
        <d v="2025-07-20T00:00:00"/>
        <d v="2026-06-30T00:00:00"/>
        <d v="2025-08-03T00:00:00"/>
        <d v="2026-07-28T00:00:00"/>
        <d v="2025-11-06T00:00:00"/>
        <d v="2026-07-25T00:00:00"/>
        <d v="2025-07-18T00:00:00"/>
        <d v="2025-09-26T00:00:00"/>
        <d v="2026-07-07T00:00:00"/>
        <d v="2025-05-20T00:00:00"/>
        <m/>
      </sharedItems>
      <fieldGroup par="16"/>
    </cacheField>
    <cacheField name="Crime_Type" numFmtId="0">
      <sharedItems count="6">
        <s v="Assault"/>
        <s v="Robbery"/>
        <s v="Theft"/>
        <s v="Traffic Offense"/>
        <s v="Burglary"/>
        <s v="Fraud"/>
      </sharedItems>
    </cacheField>
    <cacheField name="District" numFmtId="0">
      <sharedItems count="6">
        <s v="Waberi"/>
        <s v="Hodan"/>
        <s v="Daynile"/>
        <s v="Yaqshid"/>
        <s v="Wadajir"/>
        <s v="Karan"/>
      </sharedItems>
    </cacheField>
    <cacheField name="Victim_Gender" numFmtId="0">
      <sharedItems count="3">
        <s v="Male"/>
        <s v="Unknown"/>
        <s v="Female"/>
      </sharedItems>
    </cacheField>
    <cacheField name="Case_Status" numFmtId="0">
      <sharedItems count="4">
        <s v="Open"/>
        <s v="Closed"/>
        <s v="Referred"/>
        <s v="Under Investigation"/>
      </sharedItems>
    </cacheField>
    <cacheField name="Severity_Level" numFmtId="0">
      <sharedItems count="3">
        <s v="High"/>
        <s v="Medium"/>
        <s v="Low"/>
      </sharedItems>
    </cacheField>
    <cacheField name="Crime_Year" numFmtId="0">
      <sharedItems containsMixedTypes="1" containsNumber="1" containsInteger="1" minValue="2025" maxValue="2026" count="3">
        <n v="2026"/>
        <n v="2025"/>
        <s v=""/>
      </sharedItems>
    </cacheField>
    <cacheField name="Crime_month" numFmtId="0">
      <sharedItems containsMixedTypes="1" containsNumber="1" containsInteger="1" minValue="1" maxValue="12" count="13">
        <n v="7"/>
        <n v="6"/>
        <n v="12"/>
        <n v="1"/>
        <n v="5"/>
        <n v="2"/>
        <n v="4"/>
        <n v="10"/>
        <n v="9"/>
        <n v="11"/>
        <n v="3"/>
        <n v="8"/>
        <s v=""/>
      </sharedItems>
    </cacheField>
    <cacheField name="Crime_month name" numFmtId="0">
      <sharedItems count="13">
        <s v="July"/>
        <s v="June"/>
        <s v="December"/>
        <s v="January"/>
        <s v="May"/>
        <s v="February"/>
        <s v="April"/>
        <s v="October"/>
        <s v="September"/>
        <s v="November"/>
        <s v="March"/>
        <s v="August"/>
        <s v=""/>
      </sharedItems>
    </cacheField>
    <cacheField name="Data_Quality_Flag" numFmtId="0">
      <sharedItems/>
    </cacheField>
    <cacheField name="Duplicate_Flag" numFmtId="0">
      <sharedItems/>
    </cacheField>
    <cacheField name="Record_Status" numFmtId="0">
      <sharedItems/>
    </cacheField>
    <cacheField name="concat" numFmtId="0">
      <sharedItems/>
    </cacheField>
    <cacheField name="Months (Crime_Date)" numFmtId="0" databaseField="0">
      <fieldGroup base="1">
        <rangePr groupBy="months" startDate="2025-01-07T00:00:00" endDate="2026-08-01T00:00:00"/>
        <groupItems count="14">
          <s v="&lt;1/7/2025"/>
          <s v="Jan"/>
          <s v="Feb"/>
          <s v="Mar"/>
          <s v="Apr"/>
          <s v="May"/>
          <s v="Jun"/>
          <s v="Jul"/>
          <s v="Aug"/>
          <s v="Sep"/>
          <s v="Oct"/>
          <s v="Nov"/>
          <s v="Dec"/>
          <s v="&gt;8/1/2026"/>
        </groupItems>
      </fieldGroup>
    </cacheField>
    <cacheField name="Quarters (Crime_Date)" numFmtId="0" databaseField="0">
      <fieldGroup base="1">
        <rangePr groupBy="quarters" startDate="2025-01-07T00:00:00" endDate="2026-08-01T00:00:00"/>
        <groupItems count="6">
          <s v="&lt;1/7/2025"/>
          <s v="Qtr1"/>
          <s v="Qtr2"/>
          <s v="Qtr3"/>
          <s v="Qtr4"/>
          <s v="&gt;8/1/2026"/>
        </groupItems>
      </fieldGroup>
    </cacheField>
    <cacheField name="Years (Crime_Date)" numFmtId="0" databaseField="0">
      <fieldGroup base="1">
        <rangePr groupBy="years" startDate="2025-01-07T00:00:00" endDate="2026-08-01T00:00:00"/>
        <groupItems count="4">
          <s v="&lt;1/7/2025"/>
          <s v="2025"/>
          <s v="2026"/>
          <s v="&gt;8/1/2026"/>
        </groupItems>
      </fieldGroup>
    </cacheField>
  </cacheFields>
  <extLst>
    <ext xmlns:x14="http://schemas.microsoft.com/office/spreadsheetml/2009/9/main" uri="{725AE2AE-9491-48be-B2B4-4EB974FC3084}">
      <x14:pivotCacheDefinition pivotCacheId="163038726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uSHuu" refreshedDate="46259.481495023145" createdVersion="8" refreshedVersion="8" minRefreshableVersion="3" recordCount="293" xr:uid="{6BC00409-EAB8-44FD-9E5C-E74B6309E227}">
  <cacheSource type="worksheet">
    <worksheetSource name="Table1"/>
  </cacheSource>
  <cacheFields count="14">
    <cacheField name="Crime_ID" numFmtId="0">
      <sharedItems containsBlank="1"/>
    </cacheField>
    <cacheField name="Crime_Date" numFmtId="164">
      <sharedItems containsNonDate="0" containsDate="1" containsString="0" containsBlank="1" minDate="2025-01-07T00:00:00" maxDate="2026-08-01T00:00:00"/>
    </cacheField>
    <cacheField name="Crime_Type" numFmtId="0">
      <sharedItems/>
    </cacheField>
    <cacheField name="District" numFmtId="0">
      <sharedItems/>
    </cacheField>
    <cacheField name="Victim_Gender" numFmtId="0">
      <sharedItems count="3">
        <s v="Male"/>
        <s v="Unknown"/>
        <s v="Female"/>
      </sharedItems>
    </cacheField>
    <cacheField name="Case_Status" numFmtId="0">
      <sharedItems/>
    </cacheField>
    <cacheField name="Severity_Level" numFmtId="0">
      <sharedItems/>
    </cacheField>
    <cacheField name="Crime_Year" numFmtId="0">
      <sharedItems containsMixedTypes="1" containsNumber="1" containsInteger="1" minValue="2025" maxValue="2026"/>
    </cacheField>
    <cacheField name="Crime_month" numFmtId="0">
      <sharedItems containsMixedTypes="1" containsNumber="1" containsInteger="1" minValue="1" maxValue="12"/>
    </cacheField>
    <cacheField name="Crime_month name" numFmtId="0">
      <sharedItems/>
    </cacheField>
    <cacheField name="Data_Quality_Flag" numFmtId="0">
      <sharedItems/>
    </cacheField>
    <cacheField name="Duplicate_Flag" numFmtId="0">
      <sharedItems/>
    </cacheField>
    <cacheField name="Record_Status" numFmtId="0">
      <sharedItems/>
    </cacheField>
    <cacheField name="concat"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uSHuu" refreshedDate="46259.481873032404" createdVersion="8" refreshedVersion="8" minRefreshableVersion="3" recordCount="293" xr:uid="{20306CD1-E061-468F-8473-0F3DDBE3076E}">
  <cacheSource type="worksheet">
    <worksheetSource name="Table1"/>
  </cacheSource>
  <cacheFields count="14">
    <cacheField name="Crime_ID" numFmtId="0">
      <sharedItems containsBlank="1"/>
    </cacheField>
    <cacheField name="Crime_Date" numFmtId="164">
      <sharedItems containsNonDate="0" containsDate="1" containsString="0" containsBlank="1" minDate="2025-01-07T00:00:00" maxDate="2026-08-01T00:00:00"/>
    </cacheField>
    <cacheField name="Crime_Type" numFmtId="0">
      <sharedItems/>
    </cacheField>
    <cacheField name="District" numFmtId="0">
      <sharedItems/>
    </cacheField>
    <cacheField name="Victim_Gender" numFmtId="0">
      <sharedItems/>
    </cacheField>
    <cacheField name="Case_Status" numFmtId="0">
      <sharedItems count="4">
        <s v="Open"/>
        <s v="Closed"/>
        <s v="Referred"/>
        <s v="Under Investigation"/>
      </sharedItems>
    </cacheField>
    <cacheField name="Severity_Level" numFmtId="0">
      <sharedItems/>
    </cacheField>
    <cacheField name="Crime_Year" numFmtId="0">
      <sharedItems containsMixedTypes="1" containsNumber="1" containsInteger="1" minValue="2025" maxValue="2026"/>
    </cacheField>
    <cacheField name="Crime_month" numFmtId="0">
      <sharedItems containsMixedTypes="1" containsNumber="1" containsInteger="1" minValue="1" maxValue="12"/>
    </cacheField>
    <cacheField name="Crime_month name" numFmtId="0">
      <sharedItems/>
    </cacheField>
    <cacheField name="Data_Quality_Flag" numFmtId="0">
      <sharedItems/>
    </cacheField>
    <cacheField name="Duplicate_Flag" numFmtId="0">
      <sharedItems/>
    </cacheField>
    <cacheField name="Record_Status" numFmtId="0">
      <sharedItems/>
    </cacheField>
    <cacheField name="concat"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uSHuu" refreshedDate="46259.482456018515" createdVersion="8" refreshedVersion="8" minRefreshableVersion="3" recordCount="293" xr:uid="{78E3F83E-F3A7-45FD-8AE7-81738862514D}">
  <cacheSource type="worksheet">
    <worksheetSource name="Table1"/>
  </cacheSource>
  <cacheFields count="14">
    <cacheField name="Crime_ID" numFmtId="0">
      <sharedItems containsBlank="1"/>
    </cacheField>
    <cacheField name="Crime_Date" numFmtId="164">
      <sharedItems containsNonDate="0" containsDate="1" containsString="0" containsBlank="1" minDate="2025-01-07T00:00:00" maxDate="2026-08-01T00:00:00"/>
    </cacheField>
    <cacheField name="Crime_Type" numFmtId="0">
      <sharedItems/>
    </cacheField>
    <cacheField name="District" numFmtId="0">
      <sharedItems/>
    </cacheField>
    <cacheField name="Victim_Gender" numFmtId="0">
      <sharedItems/>
    </cacheField>
    <cacheField name="Case_Status" numFmtId="0">
      <sharedItems/>
    </cacheField>
    <cacheField name="Severity_Level" numFmtId="0">
      <sharedItems count="3">
        <s v="High"/>
        <s v="Medium"/>
        <s v="Low"/>
      </sharedItems>
    </cacheField>
    <cacheField name="Crime_Year" numFmtId="0">
      <sharedItems containsMixedTypes="1" containsNumber="1" containsInteger="1" minValue="2025" maxValue="2026"/>
    </cacheField>
    <cacheField name="Crime_month" numFmtId="0">
      <sharedItems containsMixedTypes="1" containsNumber="1" containsInteger="1" minValue="1" maxValue="12"/>
    </cacheField>
    <cacheField name="Crime_month name" numFmtId="0">
      <sharedItems/>
    </cacheField>
    <cacheField name="Data_Quality_Flag" numFmtId="0">
      <sharedItems/>
    </cacheField>
    <cacheField name="Duplicate_Flag" numFmtId="0">
      <sharedItems/>
    </cacheField>
    <cacheField name="Record_Status" numFmtId="0">
      <sharedItems/>
    </cacheField>
    <cacheField name="concat" numFmtId="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uSHuu" refreshedDate="46259.483771296298" createdVersion="8" refreshedVersion="8" minRefreshableVersion="3" recordCount="293" xr:uid="{EB425509-2F7E-4ABC-87ED-DA74B7BB3419}">
  <cacheSource type="worksheet">
    <worksheetSource name="Table1"/>
  </cacheSource>
  <cacheFields count="17">
    <cacheField name="Crime_ID" numFmtId="0">
      <sharedItems containsBlank="1" count="293">
        <s v="CRM001"/>
        <s v="CRM002"/>
        <s v="CRM003"/>
        <s v="CRM004"/>
        <s v="CRM005"/>
        <s v="CRM006"/>
        <s v="CRM007"/>
        <s v="CRM008"/>
        <s v="CRM009"/>
        <s v="CRM010"/>
        <s v="CRM011"/>
        <s v="CRM012"/>
        <s v="CRM013"/>
        <s v="CRM014"/>
        <s v="CRM015"/>
        <s v="CRM00292"/>
        <s v="CRM00291"/>
        <s v="CRM00290"/>
        <s v="CRM00289"/>
        <s v="CRM00288"/>
        <s v="CRM00287"/>
        <s v="CRM00286"/>
        <s v="CRM00285"/>
        <s v="CRM00284"/>
        <s v="CRM00283"/>
        <s v="CRM00282"/>
        <s v="CRM00281"/>
        <s v="CRM00280"/>
        <s v="CRM00279"/>
        <s v="CRM00278"/>
        <s v="CRM00277"/>
        <s v="CRM00276"/>
        <s v="CRM00275"/>
        <s v="CRM00274"/>
        <s v="CRM00273"/>
        <s v="CRM00272"/>
        <s v="CRM00271"/>
        <s v="CRM00270"/>
        <s v="CRM00269"/>
        <s v="CRM00268"/>
        <s v="CRM00267"/>
        <s v="CRM00266"/>
        <s v="CRM00265"/>
        <s v="CRM00264"/>
        <s v="CRM00263"/>
        <s v="CRM00262"/>
        <s v="CRM00261"/>
        <s v="CRM00260"/>
        <s v="CRM00259"/>
        <s v="CRM00258"/>
        <s v="CRM00257"/>
        <s v="CRM00256"/>
        <s v="CRM00255"/>
        <s v="CRM00254"/>
        <s v="CRM00253"/>
        <s v="CRM00252"/>
        <s v="CRM00251"/>
        <s v="CRM00250"/>
        <s v="CRM00249"/>
        <s v="CRM00248"/>
        <s v="CRM00247"/>
        <s v="CRM00246"/>
        <s v="CRM00245"/>
        <s v="CRM00244"/>
        <s v="CRM00243"/>
        <s v="CRM00242"/>
        <s v="CRM00241"/>
        <s v="CRM00240"/>
        <s v="CRM00239"/>
        <s v="CRM00238"/>
        <s v="CRM00237"/>
        <s v="CRM00236"/>
        <s v="CRM00235"/>
        <s v="CRM00234"/>
        <s v="CRM00233"/>
        <s v="CRM00232"/>
        <s v="CRM00231"/>
        <s v="CRM00230"/>
        <s v="CRM00229"/>
        <s v="CRM00228"/>
        <s v="CRM00227"/>
        <s v="CRM00226"/>
        <s v="CRM00225"/>
        <s v="CRM00224"/>
        <s v="CRM00223"/>
        <s v="CRM00222"/>
        <s v="CRM00221"/>
        <s v="CRM00220"/>
        <s v="CRM00219"/>
        <s v="CRM00218"/>
        <s v="CRM00217"/>
        <s v="CRM00216"/>
        <s v="CRM00215"/>
        <s v="CRM00214"/>
        <s v="CRM00213"/>
        <s v="CRM00212"/>
        <s v="CRM00211"/>
        <s v="CRM00210"/>
        <s v="CRM00209"/>
        <s v="CRM00208"/>
        <s v="CRM00207"/>
        <s v="CRM00206"/>
        <s v="CRM00205"/>
        <s v="CRM00204"/>
        <s v="CRM00203"/>
        <s v="CRM00202"/>
        <s v="CRM00201"/>
        <s v="CRM00200"/>
        <s v="CRM00199"/>
        <s v="CRM00198"/>
        <s v="CRM00197"/>
        <s v="CRM00196"/>
        <s v="CRM00195"/>
        <s v="CRM00194"/>
        <s v="CRM00193"/>
        <s v="CRM00192"/>
        <s v="CRM00191"/>
        <s v="CRM00190"/>
        <s v="CRM00189"/>
        <s v="CRM00188"/>
        <s v="CRM00187"/>
        <s v="CRM00185"/>
        <s v="CRM00183"/>
        <s v="CRM00182"/>
        <s v="CRM00181"/>
        <s v="CRM00180"/>
        <s v="CRM00179"/>
        <s v="CRM00178"/>
        <s v="CRM00177"/>
        <s v="CRM00176"/>
        <s v="CRM00175"/>
        <s v="CRM00174"/>
        <s v="CRM00173"/>
        <s v="CRM00172"/>
        <s v="CRM00171"/>
        <s v="CRM00170"/>
        <s v="CRM00169"/>
        <s v="CRM00168"/>
        <s v="CRM00167"/>
        <s v="CRM00166"/>
        <s v="CRM00165"/>
        <s v="CRM00164"/>
        <s v="CRM00163"/>
        <s v="CRM00162"/>
        <s v="CRM00161"/>
        <s v="CRM00160"/>
        <s v="CRM00158"/>
        <s v="CRM00157"/>
        <s v="CRM00156"/>
        <s v="CRM00155"/>
        <s v="CRM00153"/>
        <s v="CRM00152"/>
        <s v="CRM00151"/>
        <s v="CRM00150"/>
        <s v="CRM00149"/>
        <s v="CRM00148"/>
        <s v="CRM00147"/>
        <s v="CRM00146"/>
        <s v="CRM00145"/>
        <s v="CRM00144"/>
        <s v="CRM00143"/>
        <s v="CRM00142"/>
        <s v="CRM00141"/>
        <s v="CRM00140"/>
        <s v="CRM00139"/>
        <s v="CRM00138"/>
        <s v="CRM00137"/>
        <s v="CRM00136"/>
        <s v="CRM00135"/>
        <s v="CRM00134"/>
        <s v="CRM00133"/>
        <s v="CRM00132"/>
        <s v="CRM00131"/>
        <s v="CRM00130"/>
        <s v="CRM00129"/>
        <s v="CRM00128"/>
        <s v="CRM00127"/>
        <s v="CRM00126"/>
        <s v="CRM00125"/>
        <s v="CRM00124"/>
        <s v="CRM00123"/>
        <s v="CRM00122"/>
        <s v="CRM00121"/>
        <s v="CRM00120"/>
        <s v="CRM00119"/>
        <s v="CRM00118"/>
        <s v="CRM00117"/>
        <s v="CRM00116"/>
        <s v="CRM00114"/>
        <s v="CRM00113"/>
        <s v="CRM00112"/>
        <s v="CRM00111"/>
        <s v="CRM00109"/>
        <s v="CRM00107"/>
        <s v="CRM00106"/>
        <s v="CRM00105"/>
        <s v="CRM00104"/>
        <s v="CRM00103"/>
        <s v="CRM00102"/>
        <s v="CRM00101"/>
        <s v="CRM00100"/>
        <s v="CRM00099"/>
        <s v="CRM00098"/>
        <s v="CRM00097"/>
        <s v="CRM00096"/>
        <s v="CRM00094"/>
        <s v="CRM00093"/>
        <s v="CRM00092"/>
        <s v="CRM00091"/>
        <s v="CRM00090"/>
        <s v="CRM00088"/>
        <s v="CRM00087"/>
        <s v="CRM00086"/>
        <s v="CRM00085"/>
        <s v="CRM00083"/>
        <s v="CRM00082"/>
        <s v="CRM00081"/>
        <s v="CRM00078"/>
        <s v="CRM00077"/>
        <s v="CRM00076"/>
        <s v="CRM00075"/>
        <s v="CRM00074"/>
        <s v="CRM00073"/>
        <s v="CRM00072"/>
        <s v="CRM00071"/>
        <s v="CRM00070"/>
        <s v="CRM00068"/>
        <s v="CRM00067"/>
        <s v="CRM00066"/>
        <s v="CRM00065"/>
        <s v="CRM00064"/>
        <s v="CRM00063"/>
        <s v="CRM00062"/>
        <s v="CRM00061"/>
        <s v="CRM00060"/>
        <s v="CRM00059"/>
        <s v="CRM00058"/>
        <s v="CRM00057"/>
        <s v="CRM00055"/>
        <s v="CRM00054"/>
        <s v="CRM00053"/>
        <s v="CRM00052"/>
        <s v="CRM00051"/>
        <s v="CRM00050"/>
        <s v="CRM00049"/>
        <s v="CRM00048"/>
        <s v="CRM00047"/>
        <s v="CRM00046"/>
        <s v="CRM00045"/>
        <s v="CRM00044"/>
        <s v="CRM00043"/>
        <s v="CRM00042"/>
        <s v="CRM00041"/>
        <s v="CRM00040"/>
        <s v="CRM00039"/>
        <s v="CRM00038"/>
        <s v="CRM00037"/>
        <s v="CRM00036"/>
        <s v="CRM00035"/>
        <s v="CRM00034"/>
        <s v="CRM00033"/>
        <s v="CRM00032"/>
        <s v="CRM00031"/>
        <s v="CRM00029"/>
        <s v="CRM00028"/>
        <s v="CRM00027"/>
        <s v="CRM00026"/>
        <s v="CRM00025"/>
        <s v="CRM00024"/>
        <s v="CRM00023"/>
        <s v="CRM00022"/>
        <s v="CRM00021"/>
        <s v="CRM00020"/>
        <s v="CRM00019"/>
        <s v="CRM00018"/>
        <s v="CRM00017"/>
        <s v="CRM00016"/>
        <s v="CRM00015"/>
        <s v="CRM00014"/>
        <s v="CRM00013"/>
        <s v="CRM00012"/>
        <s v="CRM00011"/>
        <s v="CRM00010"/>
        <s v="CRM00009"/>
        <s v="CRM00008"/>
        <s v="CRM00007"/>
        <s v="CRM00006"/>
        <s v="CRM00005"/>
        <s v="CRM00004"/>
        <s v="CRM00003"/>
        <s v="CRM00002"/>
        <s v="CRM00001"/>
        <m/>
      </sharedItems>
    </cacheField>
    <cacheField name="Crime_Date" numFmtId="164">
      <sharedItems containsNonDate="0" containsDate="1" containsString="0" containsBlank="1" minDate="2025-01-07T00:00:00" maxDate="2026-08-01T00:00:00" count="228">
        <d v="2026-07-12T00:00:00"/>
        <d v="2025-06-14T00:00:00"/>
        <d v="2025-12-26T00:00:00"/>
        <d v="2025-06-24T00:00:00"/>
        <d v="2026-01-23T00:00:00"/>
        <d v="2026-01-17T00:00:00"/>
        <d v="2026-05-17T00:00:00"/>
        <d v="2025-07-12T00:00:00"/>
        <d v="2026-07-01T00:00:00"/>
        <d v="2026-02-10T00:00:00"/>
        <d v="2025-04-01T00:00:00"/>
        <d v="2026-05-19T00:00:00"/>
        <d v="2026-01-28T00:00:00"/>
        <d v="2025-10-21T00:00:00"/>
        <d v="2025-12-01T00:00:00"/>
        <d v="2025-09-12T00:00:00"/>
        <d v="2026-06-03T00:00:00"/>
        <d v="2025-02-26T00:00:00"/>
        <d v="2026-02-06T00:00:00"/>
        <d v="2025-11-22T00:00:00"/>
        <d v="2025-03-20T00:00:00"/>
        <d v="2025-01-23T00:00:00"/>
        <d v="2025-08-13T00:00:00"/>
        <d v="2025-10-03T00:00:00"/>
        <d v="2025-10-15T00:00:00"/>
        <d v="2025-06-17T00:00:00"/>
        <d v="2025-09-15T00:00:00"/>
        <d v="2025-07-06T00:00:00"/>
        <d v="2025-12-14T00:00:00"/>
        <d v="2026-01-15T00:00:00"/>
        <d v="2026-05-20T00:00:00"/>
        <d v="2025-08-08T00:00:00"/>
        <d v="2026-04-08T00:00:00"/>
        <d v="2026-02-05T00:00:00"/>
        <d v="2025-10-20T00:00:00"/>
        <d v="2026-01-21T00:00:00"/>
        <d v="2025-05-04T00:00:00"/>
        <d v="2025-02-17T00:00:00"/>
        <d v="2025-04-28T00:00:00"/>
        <d v="2025-01-07T00:00:00"/>
        <d v="2026-01-20T00:00:00"/>
        <d v="2025-02-27T00:00:00"/>
        <d v="2025-08-02T00:00:00"/>
        <d v="2026-06-05T00:00:00"/>
        <d v="2026-05-07T00:00:00"/>
        <d v="2026-02-03T00:00:00"/>
        <d v="2026-01-13T00:00:00"/>
        <d v="2026-04-24T00:00:00"/>
        <d v="2026-02-15T00:00:00"/>
        <d v="2025-01-22T00:00:00"/>
        <d v="2025-07-22T00:00:00"/>
        <d v="2025-04-17T00:00:00"/>
        <d v="2025-04-25T00:00:00"/>
        <d v="2026-02-27T00:00:00"/>
        <d v="2025-03-03T00:00:00"/>
        <d v="2026-05-02T00:00:00"/>
        <d v="2026-03-11T00:00:00"/>
        <d v="2025-04-14T00:00:00"/>
        <d v="2025-10-14T00:00:00"/>
        <d v="2025-03-27T00:00:00"/>
        <d v="2026-02-02T00:00:00"/>
        <d v="2025-03-15T00:00:00"/>
        <d v="2025-02-24T00:00:00"/>
        <d v="2025-08-31T00:00:00"/>
        <d v="2026-02-21T00:00:00"/>
        <d v="2025-06-26T00:00:00"/>
        <d v="2026-05-25T00:00:00"/>
        <d v="2026-03-27T00:00:00"/>
        <d v="2025-11-03T00:00:00"/>
        <d v="2026-07-22T00:00:00"/>
        <d v="2026-05-05T00:00:00"/>
        <d v="2025-01-10T00:00:00"/>
        <d v="2025-12-28T00:00:00"/>
        <d v="2026-02-07T00:00:00"/>
        <d v="2026-02-20T00:00:00"/>
        <d v="2025-09-02T00:00:00"/>
        <d v="2025-02-09T00:00:00"/>
        <d v="2025-07-15T00:00:00"/>
        <d v="2025-07-31T00:00:00"/>
        <d v="2025-09-23T00:00:00"/>
        <d v="2025-11-14T00:00:00"/>
        <d v="2025-04-08T00:00:00"/>
        <d v="2025-06-25T00:00:00"/>
        <d v="2025-09-24T00:00:00"/>
        <d v="2026-03-22T00:00:00"/>
        <d v="2026-04-11T00:00:00"/>
        <d v="2025-08-11T00:00:00"/>
        <d v="2026-06-25T00:00:00"/>
        <d v="2026-04-25T00:00:00"/>
        <d v="2025-02-13T00:00:00"/>
        <d v="2025-06-23T00:00:00"/>
        <d v="2026-05-15T00:00:00"/>
        <d v="2026-02-13T00:00:00"/>
        <d v="2025-03-11T00:00:00"/>
        <d v="2026-06-09T00:00:00"/>
        <d v="2025-04-18T00:00:00"/>
        <d v="2025-05-27T00:00:00"/>
        <d v="2025-06-16T00:00:00"/>
        <d v="2025-09-01T00:00:00"/>
        <d v="2025-01-12T00:00:00"/>
        <d v="2025-11-09T00:00:00"/>
        <d v="2026-01-08T00:00:00"/>
        <d v="2026-07-20T00:00:00"/>
        <d v="2026-01-03T00:00:00"/>
        <d v="2025-07-19T00:00:00"/>
        <d v="2025-07-07T00:00:00"/>
        <d v="2025-12-06T00:00:00"/>
        <d v="2025-04-23T00:00:00"/>
        <d v="2025-04-20T00:00:00"/>
        <d v="2025-06-18T00:00:00"/>
        <d v="2026-04-21T00:00:00"/>
        <d v="2025-02-02T00:00:00"/>
        <d v="2026-05-13T00:00:00"/>
        <d v="2026-05-30T00:00:00"/>
        <d v="2025-05-29T00:00:00"/>
        <d v="2025-01-11T00:00:00"/>
        <d v="2025-11-16T00:00:00"/>
        <d v="2025-10-05T00:00:00"/>
        <d v="2026-05-18T00:00:00"/>
        <d v="2025-10-27T00:00:00"/>
        <d v="2025-02-25T00:00:00"/>
        <d v="2025-09-19T00:00:00"/>
        <d v="2026-05-14T00:00:00"/>
        <d v="2026-07-06T00:00:00"/>
        <d v="2026-01-29T00:00:00"/>
        <d v="2026-04-06T00:00:00"/>
        <d v="2025-12-27T00:00:00"/>
        <d v="2026-05-08T00:00:00"/>
        <d v="2025-08-07T00:00:00"/>
        <d v="2026-02-26T00:00:00"/>
        <d v="2026-05-26T00:00:00"/>
        <d v="2026-03-06T00:00:00"/>
        <d v="2025-01-14T00:00:00"/>
        <d v="2026-05-10T00:00:00"/>
        <d v="2026-03-17T00:00:00"/>
        <d v="2026-05-12T00:00:00"/>
        <d v="2025-03-07T00:00:00"/>
        <d v="2025-07-28T00:00:00"/>
        <d v="2026-02-01T00:00:00"/>
        <d v="2026-06-26T00:00:00"/>
        <d v="2026-07-29T00:00:00"/>
        <d v="2026-05-03T00:00:00"/>
        <d v="2026-01-12T00:00:00"/>
        <d v="2026-04-16T00:00:00"/>
        <d v="2025-05-26T00:00:00"/>
        <d v="2025-01-21T00:00:00"/>
        <d v="2025-12-12T00:00:00"/>
        <d v="2025-07-26T00:00:00"/>
        <d v="2025-11-13T00:00:00"/>
        <d v="2026-07-31T00:00:00"/>
        <d v="2025-04-07T00:00:00"/>
        <d v="2025-11-23T00:00:00"/>
        <d v="2025-08-01T00:00:00"/>
        <d v="2026-05-29T00:00:00"/>
        <d v="2026-03-23T00:00:00"/>
        <d v="2025-08-24T00:00:00"/>
        <d v="2026-04-18T00:00:00"/>
        <d v="2025-05-16T00:00:00"/>
        <d v="2026-02-14T00:00:00"/>
        <d v="2025-10-30T00:00:00"/>
        <d v="2025-03-13T00:00:00"/>
        <d v="2025-08-15T00:00:00"/>
        <d v="2026-04-17T00:00:00"/>
        <d v="2025-05-07T00:00:00"/>
        <d v="2026-07-13T00:00:00"/>
        <d v="2026-02-08T00:00:00"/>
        <d v="2025-05-30T00:00:00"/>
        <d v="2026-03-10T00:00:00"/>
        <d v="2026-04-15T00:00:00"/>
        <d v="2025-12-04T00:00:00"/>
        <d v="2025-09-30T00:00:00"/>
        <d v="2025-09-09T00:00:00"/>
        <d v="2025-12-09T00:00:00"/>
        <d v="2025-01-25T00:00:00"/>
        <d v="2025-06-22T00:00:00"/>
        <d v="2026-05-01T00:00:00"/>
        <d v="2025-11-30T00:00:00"/>
        <d v="2025-12-11T00:00:00"/>
        <d v="2025-02-06T00:00:00"/>
        <d v="2026-01-22T00:00:00"/>
        <d v="2025-08-20T00:00:00"/>
        <d v="2025-11-27T00:00:00"/>
        <d v="2025-08-16T00:00:00"/>
        <d v="2025-07-29T00:00:00"/>
        <d v="2026-07-03T00:00:00"/>
        <d v="2025-02-22T00:00:00"/>
        <d v="2025-03-30T00:00:00"/>
        <d v="2025-01-24T00:00:00"/>
        <d v="2025-09-08T00:00:00"/>
        <d v="2025-07-11T00:00:00"/>
        <d v="2025-02-03T00:00:00"/>
        <d v="2025-09-21T00:00:00"/>
        <d v="2026-07-27T00:00:00"/>
        <d v="2026-07-05T00:00:00"/>
        <d v="2025-12-17T00:00:00"/>
        <d v="2025-12-25T00:00:00"/>
        <d v="2025-09-22T00:00:00"/>
        <d v="2026-07-15T00:00:00"/>
        <d v="2025-07-10T00:00:00"/>
        <d v="2026-01-30T00:00:00"/>
        <d v="2025-06-09T00:00:00"/>
        <d v="2026-07-19T00:00:00"/>
        <d v="2026-04-12T00:00:00"/>
        <d v="2026-02-28T00:00:00"/>
        <d v="2025-08-28T00:00:00"/>
        <d v="2025-08-10T00:00:00"/>
        <d v="2025-02-14T00:00:00"/>
        <d v="2025-03-17T00:00:00"/>
        <d v="2025-05-05T00:00:00"/>
        <d v="2025-04-27T00:00:00"/>
        <d v="2025-02-23T00:00:00"/>
        <d v="2026-06-13T00:00:00"/>
        <d v="2025-11-10T00:00:00"/>
        <d v="2026-03-03T00:00:00"/>
        <d v="2026-03-07T00:00:00"/>
        <d v="2025-06-08T00:00:00"/>
        <d v="2025-10-02T00:00:00"/>
        <d v="2025-07-20T00:00:00"/>
        <d v="2026-06-30T00:00:00"/>
        <d v="2025-08-03T00:00:00"/>
        <d v="2026-07-28T00:00:00"/>
        <d v="2025-11-06T00:00:00"/>
        <d v="2026-07-25T00:00:00"/>
        <d v="2025-07-18T00:00:00"/>
        <d v="2025-09-26T00:00:00"/>
        <d v="2026-07-07T00:00:00"/>
        <d v="2025-05-20T00:00:00"/>
        <m/>
      </sharedItems>
      <fieldGroup par="16"/>
    </cacheField>
    <cacheField name="Crime_Type" numFmtId="0">
      <sharedItems count="6">
        <s v="Assault"/>
        <s v="Robbery"/>
        <s v="Theft"/>
        <s v="Traffic Offense"/>
        <s v="Burglary"/>
        <s v="Fraud"/>
      </sharedItems>
    </cacheField>
    <cacheField name="District" numFmtId="0">
      <sharedItems count="6">
        <s v="Waberi"/>
        <s v="Hodan"/>
        <s v="Daynile"/>
        <s v="Yaqshid"/>
        <s v="Wadajir"/>
        <s v="Karan"/>
      </sharedItems>
    </cacheField>
    <cacheField name="Victim_Gender" numFmtId="0">
      <sharedItems count="3">
        <s v="Male"/>
        <s v="Unknown"/>
        <s v="Female"/>
      </sharedItems>
    </cacheField>
    <cacheField name="Case_Status" numFmtId="0">
      <sharedItems/>
    </cacheField>
    <cacheField name="Severity_Level" numFmtId="0">
      <sharedItems/>
    </cacheField>
    <cacheField name="Crime_Year" numFmtId="0">
      <sharedItems containsMixedTypes="1" containsNumber="1" containsInteger="1" minValue="2025" maxValue="2026" count="3">
        <n v="2026"/>
        <n v="2025"/>
        <s v=""/>
      </sharedItems>
    </cacheField>
    <cacheField name="Crime_month" numFmtId="0">
      <sharedItems containsMixedTypes="1" containsNumber="1" containsInteger="1" minValue="1" maxValue="12" count="13">
        <n v="7"/>
        <n v="6"/>
        <n v="12"/>
        <n v="1"/>
        <n v="5"/>
        <n v="2"/>
        <n v="4"/>
        <n v="10"/>
        <n v="9"/>
        <n v="11"/>
        <n v="3"/>
        <n v="8"/>
        <s v=""/>
      </sharedItems>
    </cacheField>
    <cacheField name="Crime_month name" numFmtId="0">
      <sharedItems count="13">
        <s v="July"/>
        <s v="June"/>
        <s v="December"/>
        <s v="January"/>
        <s v="May"/>
        <s v="February"/>
        <s v="April"/>
        <s v="October"/>
        <s v="September"/>
        <s v="November"/>
        <s v="March"/>
        <s v="August"/>
        <s v=""/>
      </sharedItems>
    </cacheField>
    <cacheField name="Data_Quality_Flag" numFmtId="0">
      <sharedItems/>
    </cacheField>
    <cacheField name="Duplicate_Flag" numFmtId="0">
      <sharedItems/>
    </cacheField>
    <cacheField name="Record_Status" numFmtId="0">
      <sharedItems/>
    </cacheField>
    <cacheField name="concat" numFmtId="0">
      <sharedItems/>
    </cacheField>
    <cacheField name="Months (Crime_Date)" numFmtId="0" databaseField="0">
      <fieldGroup base="1">
        <rangePr groupBy="months" startDate="2025-01-07T00:00:00" endDate="2026-08-01T00:00:00"/>
        <groupItems count="14">
          <s v="&lt;1/7/2025"/>
          <s v="Jan"/>
          <s v="Feb"/>
          <s v="Mar"/>
          <s v="Apr"/>
          <s v="May"/>
          <s v="Jun"/>
          <s v="Jul"/>
          <s v="Aug"/>
          <s v="Sep"/>
          <s v="Oct"/>
          <s v="Nov"/>
          <s v="Dec"/>
          <s v="&gt;8/1/2026"/>
        </groupItems>
      </fieldGroup>
    </cacheField>
    <cacheField name="Quarters (Crime_Date)" numFmtId="0" databaseField="0">
      <fieldGroup base="1">
        <rangePr groupBy="quarters" startDate="2025-01-07T00:00:00" endDate="2026-08-01T00:00:00"/>
        <groupItems count="6">
          <s v="&lt;1/7/2025"/>
          <s v="Qtr1"/>
          <s v="Qtr2"/>
          <s v="Qtr3"/>
          <s v="Qtr4"/>
          <s v="&gt;8/1/2026"/>
        </groupItems>
      </fieldGroup>
    </cacheField>
    <cacheField name="Years (Crime_Date)" numFmtId="0" databaseField="0">
      <fieldGroup base="1">
        <rangePr groupBy="years" startDate="2025-01-07T00:00:00" endDate="2026-08-01T00:00:00"/>
        <groupItems count="4">
          <s v="&lt;1/7/2025"/>
          <s v="2025"/>
          <s v="2026"/>
          <s v="&gt;8/1/2026"/>
        </groupItems>
      </fieldGroup>
    </cacheField>
  </cacheFields>
  <extLst>
    <ext xmlns:x14="http://schemas.microsoft.com/office/spreadsheetml/2009/9/main" uri="{725AE2AE-9491-48be-B2B4-4EB974FC3084}">
      <x14:pivotCacheDefinition pivotCacheId="10854313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s v="CRM001"/>
    <d v="2026-07-12T00:00:00"/>
    <x v="0"/>
    <s v="Waberi"/>
    <s v="Male"/>
    <s v="Open"/>
    <s v="High"/>
    <n v="2026"/>
    <n v="7"/>
    <s v="July"/>
    <s v="OK"/>
    <s v="Unique"/>
    <s v="Ready"/>
    <s v="Hodan - Traffic Offense"/>
  </r>
  <r>
    <s v="CRM002"/>
    <d v="2025-06-14T00:00:00"/>
    <x v="1"/>
    <s v="Hodan"/>
    <s v="Unknown"/>
    <s v="Closed"/>
    <s v="High"/>
    <n v="2025"/>
    <n v="6"/>
    <s v="June"/>
    <s v="Needs Review"/>
    <s v="Unique"/>
    <s v="Review"/>
    <s v="Karan - Assault"/>
  </r>
  <r>
    <s v="CRM003"/>
    <d v="2025-12-26T00:00:00"/>
    <x v="1"/>
    <s v="Daynile"/>
    <s v="Male"/>
    <s v="Open"/>
    <s v="High"/>
    <n v="2025"/>
    <n v="12"/>
    <s v="December"/>
    <s v="OK"/>
    <s v="Unique"/>
    <s v="Ready"/>
    <s v="Hodan - Burglary"/>
  </r>
  <r>
    <s v="CRM004"/>
    <d v="2025-06-24T00:00:00"/>
    <x v="0"/>
    <s v="Yaqshid"/>
    <s v="Female"/>
    <s v="Referred"/>
    <s v="High"/>
    <n v="2025"/>
    <n v="6"/>
    <s v="June"/>
    <s v="OK"/>
    <s v="Unique"/>
    <s v="Ready"/>
    <s v="Hodan - Fraud"/>
  </r>
  <r>
    <s v="CRM005"/>
    <d v="2026-01-23T00:00:00"/>
    <x v="0"/>
    <s v="Daynile"/>
    <s v="Male"/>
    <s v="Under Investigation"/>
    <s v="High"/>
    <n v="2026"/>
    <n v="1"/>
    <s v="January"/>
    <s v="OK"/>
    <s v="Unique"/>
    <s v="Ready"/>
    <s v="Wadajir - Assault"/>
  </r>
  <r>
    <s v="CRM006"/>
    <d v="2026-01-17T00:00:00"/>
    <x v="1"/>
    <s v="Daynile"/>
    <s v="Male"/>
    <s v="Closed"/>
    <s v="High"/>
    <n v="2026"/>
    <n v="1"/>
    <s v="January"/>
    <s v="OK"/>
    <s v="Unique"/>
    <s v="Ready"/>
    <s v="Hodan - Assault"/>
  </r>
  <r>
    <s v="CRM007"/>
    <d v="2026-05-17T00:00:00"/>
    <x v="2"/>
    <s v="Wadajir"/>
    <s v="Male"/>
    <s v="Under Investigation"/>
    <s v="Medium"/>
    <n v="2026"/>
    <n v="5"/>
    <s v="May"/>
    <s v="OK"/>
    <s v="Unique"/>
    <s v="Ready"/>
    <s v="Yaqshid - Theft"/>
  </r>
  <r>
    <s v="CRM008"/>
    <d v="2025-07-12T00:00:00"/>
    <x v="3"/>
    <s v="Daynile"/>
    <s v="Female"/>
    <s v="Closed"/>
    <s v="Low"/>
    <n v="2025"/>
    <n v="7"/>
    <s v="July"/>
    <s v="OK"/>
    <s v="Unique"/>
    <s v="Ready"/>
    <s v="Yaqshid - Fraud"/>
  </r>
  <r>
    <s v="CRM009"/>
    <d v="2026-07-01T00:00:00"/>
    <x v="2"/>
    <s v="Wadajir"/>
    <s v="Male"/>
    <s v="Open"/>
    <s v="Medium"/>
    <n v="2026"/>
    <n v="7"/>
    <s v="July"/>
    <s v="OK"/>
    <s v="Unique"/>
    <s v="Ready"/>
    <s v="Waberi - Robbery"/>
  </r>
  <r>
    <s v="CRM010"/>
    <d v="2026-02-10T00:00:00"/>
    <x v="1"/>
    <s v="Daynile"/>
    <s v="Female"/>
    <s v="Under Investigation"/>
    <s v="High"/>
    <n v="2026"/>
    <n v="2"/>
    <s v="February"/>
    <s v="OK"/>
    <s v="Unique"/>
    <s v="Ready"/>
    <s v="Hodan - Theft"/>
  </r>
  <r>
    <s v="CRM011"/>
    <d v="2025-04-01T00:00:00"/>
    <x v="4"/>
    <s v="Waberi"/>
    <s v="Female"/>
    <s v="Under Investigation"/>
    <s v="Medium"/>
    <n v="2025"/>
    <n v="4"/>
    <s v="April"/>
    <s v="OK"/>
    <s v="Unique"/>
    <s v="Ready"/>
    <s v="Daynile - Traffic Offense"/>
  </r>
  <r>
    <s v="CRM012"/>
    <d v="2026-05-19T00:00:00"/>
    <x v="3"/>
    <s v="Hodan"/>
    <s v="Female"/>
    <s v="Open"/>
    <s v="Low"/>
    <n v="2026"/>
    <n v="5"/>
    <s v="May"/>
    <s v="OK"/>
    <s v="Unique"/>
    <s v="Ready"/>
    <s v="Waberi - Robbery"/>
  </r>
  <r>
    <s v="CRM013"/>
    <d v="2026-01-28T00:00:00"/>
    <x v="2"/>
    <s v="Wadajir"/>
    <s v="Male"/>
    <s v="Closed"/>
    <s v="Medium"/>
    <n v="2026"/>
    <n v="1"/>
    <s v="January"/>
    <s v="OK"/>
    <s v="Unique"/>
    <s v="Ready"/>
    <s v="Hodan - Assault"/>
  </r>
  <r>
    <s v="CRM014"/>
    <d v="2025-10-21T00:00:00"/>
    <x v="5"/>
    <s v="Karan"/>
    <s v="Male"/>
    <s v="Open"/>
    <s v="Medium"/>
    <n v="2025"/>
    <n v="10"/>
    <s v="October"/>
    <s v="OK"/>
    <s v="Unique"/>
    <s v="Ready"/>
    <s v="Daynile - Traffic Offense"/>
  </r>
  <r>
    <s v="CRM015"/>
    <d v="2025-12-01T00:00:00"/>
    <x v="5"/>
    <s v="Yaqshid"/>
    <s v="Male"/>
    <s v="Closed"/>
    <s v="Medium"/>
    <n v="2025"/>
    <n v="12"/>
    <s v="December"/>
    <s v="OK"/>
    <s v="Unique"/>
    <s v="Ready"/>
    <s v="Yaqshid - Fraud"/>
  </r>
  <r>
    <s v="CRM00292"/>
    <d v="2025-09-12T00:00:00"/>
    <x v="1"/>
    <s v="Wadajir"/>
    <s v="Male"/>
    <s v="Closed"/>
    <s v="High"/>
    <n v="2025"/>
    <n v="9"/>
    <s v="September"/>
    <s v="OK"/>
    <s v="Unique"/>
    <s v="Ready"/>
    <s v="Hodan - Assault"/>
  </r>
  <r>
    <s v="CRM00291"/>
    <d v="2026-06-03T00:00:00"/>
    <x v="2"/>
    <s v="Waberi"/>
    <s v="Male"/>
    <s v="Under Investigation"/>
    <s v="Medium"/>
    <n v="2026"/>
    <n v="6"/>
    <s v="June"/>
    <s v="OK"/>
    <s v="Unique"/>
    <s v="Ready"/>
    <s v="Yaqshid - Theft"/>
  </r>
  <r>
    <s v="CRM00290"/>
    <d v="2025-02-26T00:00:00"/>
    <x v="4"/>
    <s v="Hodan"/>
    <s v="Male"/>
    <s v="Closed"/>
    <s v="Medium"/>
    <n v="2025"/>
    <n v="2"/>
    <s v="February"/>
    <s v="OK"/>
    <s v="Unique"/>
    <s v="Ready"/>
    <s v="Hodan - Robbery"/>
  </r>
  <r>
    <s v="CRM00289"/>
    <d v="2026-02-06T00:00:00"/>
    <x v="5"/>
    <s v="Wadajir"/>
    <s v="Male"/>
    <s v="Open"/>
    <s v="Medium"/>
    <n v="2026"/>
    <n v="2"/>
    <s v="February"/>
    <s v="OK"/>
    <s v="Unique"/>
    <s v="Ready"/>
    <s v="Karan - Theft"/>
  </r>
  <r>
    <s v="CRM00288"/>
    <d v="2025-11-22T00:00:00"/>
    <x v="5"/>
    <s v="Karan"/>
    <s v="Female"/>
    <s v="Closed"/>
    <s v="Medium"/>
    <n v="2025"/>
    <n v="11"/>
    <s v="November"/>
    <s v="OK"/>
    <s v="Unique"/>
    <s v="Ready"/>
    <s v="Wadajir - Burglary"/>
  </r>
  <r>
    <s v="CRM00287"/>
    <d v="2025-03-20T00:00:00"/>
    <x v="1"/>
    <s v="Daynile"/>
    <s v="Female"/>
    <s v="Under Investigation"/>
    <s v="High"/>
    <n v="2025"/>
    <n v="3"/>
    <s v="March"/>
    <s v="OK"/>
    <s v="Unique"/>
    <s v="Ready"/>
    <s v="Karan - Theft"/>
  </r>
  <r>
    <s v="CRM00286"/>
    <d v="2025-01-23T00:00:00"/>
    <x v="5"/>
    <s v="Wadajir"/>
    <s v="Unknown"/>
    <s v="Closed"/>
    <s v="Medium"/>
    <n v="2025"/>
    <n v="1"/>
    <s v="January"/>
    <s v="Needs Review"/>
    <s v="Unique"/>
    <s v="Review"/>
    <s v="Karan - Theft"/>
  </r>
  <r>
    <s v="CRM00285"/>
    <d v="2025-08-13T00:00:00"/>
    <x v="0"/>
    <s v="Daynile"/>
    <s v="Unknown"/>
    <s v="Closed"/>
    <s v="High"/>
    <n v="2025"/>
    <n v="8"/>
    <s v="August"/>
    <s v="Needs Review"/>
    <s v="Unique"/>
    <s v="Review"/>
    <s v="Yaqshid - Theft"/>
  </r>
  <r>
    <s v="CRM00284"/>
    <d v="2025-10-03T00:00:00"/>
    <x v="1"/>
    <s v="Yaqshid"/>
    <s v="Unknown"/>
    <s v="Under Investigation"/>
    <s v="High"/>
    <n v="2025"/>
    <n v="10"/>
    <s v="October"/>
    <s v="Needs Review"/>
    <s v="Unique"/>
    <s v="Review"/>
    <s v="Waberi - Assault"/>
  </r>
  <r>
    <s v="CRM00283"/>
    <d v="2025-10-15T00:00:00"/>
    <x v="3"/>
    <s v="Daynile"/>
    <s v="Male"/>
    <s v="Closed"/>
    <s v="Low"/>
    <n v="2025"/>
    <n v="10"/>
    <s v="October"/>
    <s v="OK"/>
    <s v="Unique"/>
    <s v="Ready"/>
    <s v="Yaqshid - Theft"/>
  </r>
  <r>
    <s v="CRM00282"/>
    <d v="2025-06-17T00:00:00"/>
    <x v="0"/>
    <s v="Hodan"/>
    <s v="Male"/>
    <s v="Open"/>
    <s v="High"/>
    <n v="2025"/>
    <n v="6"/>
    <s v="June"/>
    <s v="OK"/>
    <s v="Unique"/>
    <s v="Ready"/>
    <s v="Daynile - Assault"/>
  </r>
  <r>
    <s v="CRM00281"/>
    <d v="2025-09-15T00:00:00"/>
    <x v="4"/>
    <s v="Yaqshid"/>
    <s v="Male"/>
    <s v="Under Investigation"/>
    <s v="Medium"/>
    <n v="2025"/>
    <n v="9"/>
    <s v="September"/>
    <s v="OK"/>
    <s v="Unique"/>
    <s v="Ready"/>
    <s v="Waberi - Assault"/>
  </r>
  <r>
    <s v="CRM00280"/>
    <d v="2025-07-06T00:00:00"/>
    <x v="2"/>
    <s v="Wadajir"/>
    <s v="Female"/>
    <s v="Closed"/>
    <s v="Medium"/>
    <n v="2025"/>
    <n v="7"/>
    <s v="July"/>
    <s v="OK"/>
    <s v="Unique"/>
    <s v="Ready"/>
    <s v="Daynile - Theft"/>
  </r>
  <r>
    <s v="CRM00279"/>
    <d v="2025-12-14T00:00:00"/>
    <x v="4"/>
    <s v="Karan"/>
    <s v="Male"/>
    <s v="Under Investigation"/>
    <s v="Medium"/>
    <n v="2025"/>
    <n v="12"/>
    <s v="December"/>
    <s v="OK"/>
    <s v="Unique"/>
    <s v="Ready"/>
    <s v="Hodan - Theft"/>
  </r>
  <r>
    <s v="CRM00278"/>
    <d v="2026-07-12T00:00:00"/>
    <x v="1"/>
    <s v="Daynile"/>
    <s v="Male"/>
    <s v="Closed"/>
    <s v="High"/>
    <n v="2026"/>
    <n v="7"/>
    <s v="July"/>
    <s v="OK"/>
    <s v="Unique"/>
    <s v="Ready"/>
    <s v="Hodan - Assault"/>
  </r>
  <r>
    <s v="CRM00277"/>
    <d v="2026-07-12T00:00:00"/>
    <x v="2"/>
    <s v="Yaqshid"/>
    <s v="Male"/>
    <s v="Closed"/>
    <s v="Medium"/>
    <n v="2026"/>
    <n v="7"/>
    <s v="July"/>
    <s v="OK"/>
    <s v="Unique"/>
    <s v="Ready"/>
    <s v="Waberi - Robbery"/>
  </r>
  <r>
    <s v="CRM00276"/>
    <d v="2026-01-15T00:00:00"/>
    <x v="2"/>
    <s v="Hodan"/>
    <s v="Male"/>
    <s v="Under Investigation"/>
    <s v="Medium"/>
    <n v="2026"/>
    <n v="1"/>
    <s v="January"/>
    <s v="OK"/>
    <s v="Unique"/>
    <s v="Ready"/>
    <s v="Karan - Robbery"/>
  </r>
  <r>
    <s v="CRM00275"/>
    <d v="2026-05-20T00:00:00"/>
    <x v="2"/>
    <s v="Daynile"/>
    <s v="Male"/>
    <s v="Closed"/>
    <s v="Medium"/>
    <n v="2026"/>
    <n v="5"/>
    <s v="May"/>
    <s v="OK"/>
    <s v="Unique"/>
    <s v="Ready"/>
    <s v="Daynile - Theft"/>
  </r>
  <r>
    <s v="CRM00274"/>
    <d v="2025-08-08T00:00:00"/>
    <x v="2"/>
    <s v="Hodan"/>
    <s v="Male"/>
    <s v="Closed"/>
    <s v="Medium"/>
    <n v="2025"/>
    <n v="8"/>
    <s v="August"/>
    <s v="OK"/>
    <s v="Unique"/>
    <s v="Ready"/>
    <s v="Wadajir - Assault"/>
  </r>
  <r>
    <s v="CRM00273"/>
    <d v="2025-09-15T00:00:00"/>
    <x v="2"/>
    <s v="Karan"/>
    <s v="Male"/>
    <s v="Open"/>
    <s v="Medium"/>
    <n v="2025"/>
    <n v="9"/>
    <s v="September"/>
    <s v="OK"/>
    <s v="Unique"/>
    <s v="Ready"/>
    <s v="Karan - Assault"/>
  </r>
  <r>
    <s v="CRM00272"/>
    <d v="2026-04-08T00:00:00"/>
    <x v="0"/>
    <s v="Hodan"/>
    <s v="Unknown"/>
    <s v="Closed"/>
    <s v="Low"/>
    <n v="2026"/>
    <n v="4"/>
    <s v="April"/>
    <s v="Needs Review"/>
    <s v="Unique"/>
    <s v="Review"/>
    <s v="Karan - Theft"/>
  </r>
  <r>
    <s v="CRM00271"/>
    <d v="2026-07-12T00:00:00"/>
    <x v="0"/>
    <s v="Karan"/>
    <s v="Male"/>
    <s v="Closed"/>
    <s v="High"/>
    <n v="2026"/>
    <n v="7"/>
    <s v="July"/>
    <s v="OK"/>
    <s v="Unique"/>
    <s v="Ready"/>
    <s v="Hodan - Assault"/>
  </r>
  <r>
    <s v="CRM00270"/>
    <d v="2026-02-05T00:00:00"/>
    <x v="2"/>
    <s v="Wadajir"/>
    <s v="Female"/>
    <s v="Closed"/>
    <s v="Medium"/>
    <n v="2026"/>
    <n v="2"/>
    <s v="February"/>
    <s v="OK"/>
    <s v="Unique"/>
    <s v="Ready"/>
    <s v="Hodan - Assault"/>
  </r>
  <r>
    <s v="CRM00269"/>
    <d v="2025-10-20T00:00:00"/>
    <x v="1"/>
    <s v="Wadajir"/>
    <s v="Male"/>
    <s v="Closed"/>
    <s v="High"/>
    <n v="2025"/>
    <n v="10"/>
    <s v="October"/>
    <s v="OK"/>
    <s v="Unique"/>
    <s v="Ready"/>
    <s v="Waberi - Theft"/>
  </r>
  <r>
    <s v="CRM00268"/>
    <d v="2026-01-21T00:00:00"/>
    <x v="0"/>
    <s v="Karan"/>
    <s v="Male"/>
    <s v="Referred"/>
    <s v="High"/>
    <n v="2026"/>
    <n v="1"/>
    <s v="January"/>
    <s v="OK"/>
    <s v="Unique"/>
    <s v="Ready"/>
    <s v="Hodan - Theft"/>
  </r>
  <r>
    <s v="CRM00267"/>
    <d v="2026-07-12T00:00:00"/>
    <x v="0"/>
    <s v="Hodan"/>
    <s v="Unknown"/>
    <s v="Under Investigation"/>
    <s v="High"/>
    <n v="2026"/>
    <n v="7"/>
    <s v="July"/>
    <s v="Needs Review"/>
    <s v="Unique"/>
    <s v="Review"/>
    <s v="Wadajir - Theft"/>
  </r>
  <r>
    <s v="CRM00266"/>
    <d v="2025-05-04T00:00:00"/>
    <x v="5"/>
    <s v="Hodan"/>
    <s v="Male"/>
    <s v="Closed"/>
    <s v="Medium"/>
    <n v="2025"/>
    <n v="5"/>
    <s v="May"/>
    <s v="OK"/>
    <s v="Unique"/>
    <s v="Ready"/>
    <s v="Hodan - Assault"/>
  </r>
  <r>
    <s v="CRM00265"/>
    <d v="2025-02-17T00:00:00"/>
    <x v="5"/>
    <s v="Wadajir"/>
    <s v="Male"/>
    <s v="Under Investigation"/>
    <s v="Medium"/>
    <n v="2025"/>
    <n v="2"/>
    <s v="February"/>
    <s v="OK"/>
    <s v="Unique"/>
    <s v="Ready"/>
    <s v="Daynile - Robbery"/>
  </r>
  <r>
    <s v="CRM00264"/>
    <d v="2025-04-28T00:00:00"/>
    <x v="4"/>
    <s v="Hodan"/>
    <s v="Male"/>
    <s v="Closed"/>
    <s v="Medium"/>
    <n v="2025"/>
    <n v="4"/>
    <s v="April"/>
    <s v="OK"/>
    <s v="Unique"/>
    <s v="Ready"/>
    <s v="Karan - Burglary"/>
  </r>
  <r>
    <s v="CRM00263"/>
    <d v="2025-01-07T00:00:00"/>
    <x v="4"/>
    <s v="Hodan"/>
    <s v="Female"/>
    <s v="Open"/>
    <s v="Medium"/>
    <n v="2025"/>
    <n v="1"/>
    <s v="January"/>
    <s v="OK"/>
    <s v="Unique"/>
    <s v="Ready"/>
    <s v="Karan - Traffic Offense"/>
  </r>
  <r>
    <s v="CRM00262"/>
    <d v="2026-01-20T00:00:00"/>
    <x v="0"/>
    <s v="Wadajir"/>
    <s v="Female"/>
    <s v="Closed"/>
    <s v="Medium"/>
    <n v="2026"/>
    <n v="1"/>
    <s v="January"/>
    <s v="OK"/>
    <s v="Unique"/>
    <s v="Ready"/>
    <s v="Hodan - Burglary"/>
  </r>
  <r>
    <s v="CRM00261"/>
    <d v="2025-02-27T00:00:00"/>
    <x v="2"/>
    <s v="Yaqshid"/>
    <s v="Male"/>
    <s v="Referred"/>
    <s v="Medium"/>
    <n v="2025"/>
    <n v="2"/>
    <s v="February"/>
    <s v="OK"/>
    <s v="Unique"/>
    <s v="Ready"/>
    <s v="Hodan - Fraud"/>
  </r>
  <r>
    <s v="CRM00260"/>
    <d v="2025-08-02T00:00:00"/>
    <x v="2"/>
    <s v="Waberi"/>
    <s v="Male"/>
    <s v="Open"/>
    <s v="Medium"/>
    <n v="2025"/>
    <n v="8"/>
    <s v="August"/>
    <s v="OK"/>
    <s v="Unique"/>
    <s v="Ready"/>
    <s v="Karan - Robbery"/>
  </r>
  <r>
    <s v="CRM00259"/>
    <d v="2026-06-05T00:00:00"/>
    <x v="1"/>
    <s v="Karan"/>
    <s v="Male"/>
    <s v="Under Investigation"/>
    <s v="High"/>
    <n v="2026"/>
    <n v="6"/>
    <s v="June"/>
    <s v="OK"/>
    <s v="Unique"/>
    <s v="Ready"/>
    <s v="Daynile - Theft"/>
  </r>
  <r>
    <s v="CRM00258"/>
    <d v="2026-07-12T00:00:00"/>
    <x v="0"/>
    <s v="Wadajir"/>
    <s v="Male"/>
    <s v="Closed"/>
    <s v="High"/>
    <n v="2026"/>
    <n v="7"/>
    <s v="July"/>
    <s v="OK"/>
    <s v="Unique"/>
    <s v="Ready"/>
    <s v="Hodan - Assault"/>
  </r>
  <r>
    <s v="CRM00257"/>
    <d v="2026-05-07T00:00:00"/>
    <x v="2"/>
    <s v="Wadajir"/>
    <s v="Male"/>
    <s v="Under Investigation"/>
    <s v="Medium"/>
    <n v="2026"/>
    <n v="5"/>
    <s v="May"/>
    <s v="OK"/>
    <s v="Unique"/>
    <s v="Ready"/>
    <s v="Karan - Theft"/>
  </r>
  <r>
    <s v="CRM00256"/>
    <d v="2026-07-12T00:00:00"/>
    <x v="2"/>
    <s v="Waberi"/>
    <s v="Male"/>
    <s v="Open"/>
    <s v="Medium"/>
    <n v="2026"/>
    <n v="7"/>
    <s v="July"/>
    <s v="OK"/>
    <s v="Unique"/>
    <s v="Ready"/>
    <s v="Daynile - Fraud"/>
  </r>
  <r>
    <s v="CRM00255"/>
    <d v="2026-02-03T00:00:00"/>
    <x v="5"/>
    <s v="Wadajir"/>
    <s v="Male"/>
    <s v="Open"/>
    <s v="Medium"/>
    <n v="2026"/>
    <n v="2"/>
    <s v="February"/>
    <s v="OK"/>
    <s v="Unique"/>
    <s v="Ready"/>
    <s v="Yaqshid - Traffic Offense"/>
  </r>
  <r>
    <s v="CRM00254"/>
    <d v="2026-07-12T00:00:00"/>
    <x v="2"/>
    <s v="Karan"/>
    <s v="Male"/>
    <s v="Open"/>
    <s v="High"/>
    <n v="2026"/>
    <n v="7"/>
    <s v="July"/>
    <s v="OK"/>
    <s v="Unique"/>
    <s v="Ready"/>
    <s v="Wadajir - Robbery"/>
  </r>
  <r>
    <s v="CRM00253"/>
    <d v="2026-01-13T00:00:00"/>
    <x v="5"/>
    <s v="Hodan"/>
    <s v="Female"/>
    <s v="Closed"/>
    <s v="Medium"/>
    <n v="2026"/>
    <n v="1"/>
    <s v="January"/>
    <s v="OK"/>
    <s v="Unique"/>
    <s v="Ready"/>
    <s v="Wadajir - Robbery"/>
  </r>
  <r>
    <s v="CRM00252"/>
    <d v="2026-04-24T00:00:00"/>
    <x v="0"/>
    <s v="Hodan"/>
    <s v="Unknown"/>
    <s v="Closed"/>
    <s v="High"/>
    <n v="2026"/>
    <n v="4"/>
    <s v="April"/>
    <s v="Needs Review"/>
    <s v="Unique"/>
    <s v="Review"/>
    <s v="Karan - Burglary"/>
  </r>
  <r>
    <s v="CRM00251"/>
    <d v="2026-02-15T00:00:00"/>
    <x v="1"/>
    <s v="Hodan"/>
    <s v="Female"/>
    <s v="Closed"/>
    <s v="High"/>
    <n v="2026"/>
    <n v="2"/>
    <s v="February"/>
    <s v="OK"/>
    <s v="Unique"/>
    <s v="Ready"/>
    <s v="Daynile - Robbery"/>
  </r>
  <r>
    <s v="CRM00250"/>
    <d v="2025-01-22T00:00:00"/>
    <x v="3"/>
    <s v="Hodan"/>
    <s v="Female"/>
    <s v="Closed"/>
    <s v="Low"/>
    <n v="2025"/>
    <n v="1"/>
    <s v="January"/>
    <s v="OK"/>
    <s v="Unique"/>
    <s v="Ready"/>
    <s v="Daynile - Assault"/>
  </r>
  <r>
    <s v="CRM00249"/>
    <d v="2026-01-28T00:00:00"/>
    <x v="0"/>
    <s v="Daynile"/>
    <s v="Male"/>
    <s v="Under Investigation"/>
    <s v="High"/>
    <n v="2026"/>
    <n v="1"/>
    <s v="January"/>
    <s v="OK"/>
    <s v="Unique"/>
    <s v="Ready"/>
    <s v="Hodan - Theft"/>
  </r>
  <r>
    <s v="CRM00248"/>
    <d v="2025-07-22T00:00:00"/>
    <x v="4"/>
    <s v="Wadajir"/>
    <s v="Female"/>
    <s v="Under Investigation"/>
    <s v="Medium"/>
    <n v="2025"/>
    <n v="7"/>
    <s v="July"/>
    <s v="OK"/>
    <s v="Unique"/>
    <s v="Ready"/>
    <s v="Waberi - Traffic Offense"/>
  </r>
  <r>
    <s v="CRM00247"/>
    <d v="2025-04-17T00:00:00"/>
    <x v="1"/>
    <s v="Yaqshid"/>
    <s v="Male"/>
    <s v="Closed"/>
    <s v="High"/>
    <n v="2025"/>
    <n v="4"/>
    <s v="April"/>
    <s v="OK"/>
    <s v="Unique"/>
    <s v="Ready"/>
    <s v="Wadajir - Burglary"/>
  </r>
  <r>
    <s v="CRM00246"/>
    <d v="2025-04-25T00:00:00"/>
    <x v="2"/>
    <s v="Wadajir"/>
    <s v="Male"/>
    <s v="Closed"/>
    <s v="Medium"/>
    <n v="2025"/>
    <n v="4"/>
    <s v="April"/>
    <s v="OK"/>
    <s v="Unique"/>
    <s v="Ready"/>
    <s v="Hodan - Fraud"/>
  </r>
  <r>
    <s v="CRM00245"/>
    <d v="2026-06-05T00:00:00"/>
    <x v="2"/>
    <s v="Daynile"/>
    <s v="Male"/>
    <s v="Open"/>
    <s v="Medium"/>
    <n v="2026"/>
    <n v="6"/>
    <s v="June"/>
    <s v="OK"/>
    <s v="Unique"/>
    <s v="Ready"/>
    <s v="Karan - Fraud"/>
  </r>
  <r>
    <s v="CRM00244"/>
    <d v="2026-02-27T00:00:00"/>
    <x v="0"/>
    <s v="Hodan"/>
    <s v="Female"/>
    <s v="Under Investigation"/>
    <s v="High"/>
    <n v="2026"/>
    <n v="2"/>
    <s v="February"/>
    <s v="OK"/>
    <s v="Unique"/>
    <s v="Ready"/>
    <s v="Daynile - Assault"/>
  </r>
  <r>
    <s v="CRM00243"/>
    <d v="2025-03-03T00:00:00"/>
    <x v="3"/>
    <s v="Hodan"/>
    <s v="Female"/>
    <s v="Under Investigation"/>
    <s v="High"/>
    <n v="2025"/>
    <n v="3"/>
    <s v="March"/>
    <s v="OK"/>
    <s v="Unique"/>
    <s v="Ready"/>
    <s v="Wadajir - Theft"/>
  </r>
  <r>
    <s v="CRM00242"/>
    <d v="2026-05-02T00:00:00"/>
    <x v="1"/>
    <s v="Karan"/>
    <s v="Female"/>
    <s v="Closed"/>
    <s v="High"/>
    <n v="2026"/>
    <n v="5"/>
    <s v="May"/>
    <s v="OK"/>
    <s v="Unique"/>
    <s v="Ready"/>
    <s v="Daynile - Fraud"/>
  </r>
  <r>
    <s v="CRM00241"/>
    <d v="2026-03-11T00:00:00"/>
    <x v="2"/>
    <s v="Wadajir"/>
    <s v="Female"/>
    <s v="Closed"/>
    <s v="Medium"/>
    <n v="2026"/>
    <n v="3"/>
    <s v="March"/>
    <s v="OK"/>
    <s v="Unique"/>
    <s v="Ready"/>
    <s v="Hodan - Assault"/>
  </r>
  <r>
    <s v="CRM00240"/>
    <d v="2025-04-14T00:00:00"/>
    <x v="3"/>
    <s v="Waberi"/>
    <s v="Male"/>
    <s v="Open"/>
    <s v="Low"/>
    <n v="2025"/>
    <n v="4"/>
    <s v="April"/>
    <s v="OK"/>
    <s v="Unique"/>
    <s v="Ready"/>
    <s v="Hodan - Assault"/>
  </r>
  <r>
    <s v="CRM00239"/>
    <d v="2025-10-14T00:00:00"/>
    <x v="0"/>
    <s v="Wadajir"/>
    <s v="Male"/>
    <s v="Closed"/>
    <s v="High"/>
    <n v="2025"/>
    <n v="10"/>
    <s v="October"/>
    <s v="OK"/>
    <s v="Unique"/>
    <s v="Ready"/>
    <s v="Karan - Burglary"/>
  </r>
  <r>
    <s v="CRM00238"/>
    <d v="2025-03-27T00:00:00"/>
    <x v="0"/>
    <s v="Yaqshid"/>
    <s v="Male"/>
    <s v="Closed"/>
    <s v="High"/>
    <n v="2025"/>
    <n v="3"/>
    <s v="March"/>
    <s v="OK"/>
    <s v="Unique"/>
    <s v="Ready"/>
    <s v="Hodan - Assault"/>
  </r>
  <r>
    <s v="CRM00237"/>
    <d v="2026-02-02T00:00:00"/>
    <x v="0"/>
    <s v="Hodan"/>
    <s v="Male"/>
    <s v="Closed"/>
    <s v="High"/>
    <n v="2026"/>
    <n v="2"/>
    <s v="February"/>
    <s v="OK"/>
    <s v="Unique"/>
    <s v="Ready"/>
    <s v="Hodan - Assault"/>
  </r>
  <r>
    <s v="CRM00236"/>
    <d v="2025-03-15T00:00:00"/>
    <x v="5"/>
    <s v="Hodan"/>
    <s v="Male"/>
    <s v="Closed"/>
    <s v="Medium"/>
    <n v="2025"/>
    <n v="3"/>
    <s v="March"/>
    <s v="OK"/>
    <s v="Unique"/>
    <s v="Ready"/>
    <s v="Daynile - Fraud"/>
  </r>
  <r>
    <s v="CRM00235"/>
    <d v="2025-02-24T00:00:00"/>
    <x v="2"/>
    <s v="Hodan"/>
    <s v="Male"/>
    <s v="Referred"/>
    <s v="Medium"/>
    <n v="2025"/>
    <n v="2"/>
    <s v="February"/>
    <s v="OK"/>
    <s v="Unique"/>
    <s v="Ready"/>
    <s v="Wadajir - Fraud"/>
  </r>
  <r>
    <s v="CRM00234"/>
    <d v="2026-07-12T00:00:00"/>
    <x v="3"/>
    <s v="Daynile"/>
    <s v="Unknown"/>
    <s v="Closed"/>
    <s v="Low"/>
    <n v="2026"/>
    <n v="7"/>
    <s v="July"/>
    <s v="Needs Review"/>
    <s v="Unique"/>
    <s v="Review"/>
    <s v="Daynile - Robbery"/>
  </r>
  <r>
    <s v="CRM00233"/>
    <d v="2025-08-31T00:00:00"/>
    <x v="0"/>
    <s v="Daynile"/>
    <s v="Male"/>
    <s v="Closed"/>
    <s v="High"/>
    <n v="2025"/>
    <n v="8"/>
    <s v="August"/>
    <s v="OK"/>
    <s v="Unique"/>
    <s v="Ready"/>
    <s v="Daynile - Robbery"/>
  </r>
  <r>
    <s v="CRM00232"/>
    <d v="2026-02-21T00:00:00"/>
    <x v="5"/>
    <s v="Wadajir"/>
    <s v="Male"/>
    <s v="Closed"/>
    <s v="Medium"/>
    <n v="2026"/>
    <n v="2"/>
    <s v="February"/>
    <s v="OK"/>
    <s v="Unique"/>
    <s v="Ready"/>
    <s v="Daynile - Theft"/>
  </r>
  <r>
    <s v="CRM00231"/>
    <d v="2025-06-26T00:00:00"/>
    <x v="2"/>
    <s v="Waberi"/>
    <s v="Unknown"/>
    <s v="Under Investigation"/>
    <s v="Medium"/>
    <n v="2025"/>
    <n v="6"/>
    <s v="June"/>
    <s v="Needs Review"/>
    <s v="Unique"/>
    <s v="Review"/>
    <s v="Waberi - Traffic Offense"/>
  </r>
  <r>
    <s v="CRM00230"/>
    <d v="2025-08-13T00:00:00"/>
    <x v="0"/>
    <s v="Waberi"/>
    <s v="Female"/>
    <s v="Under Investigation"/>
    <s v="High"/>
    <n v="2025"/>
    <n v="8"/>
    <s v="August"/>
    <s v="OK"/>
    <s v="Unique"/>
    <s v="Ready"/>
    <s v="Waberi - Robbery"/>
  </r>
  <r>
    <s v="CRM00229"/>
    <d v="2026-05-25T00:00:00"/>
    <x v="5"/>
    <s v="Wadajir"/>
    <s v="Female"/>
    <s v="Open"/>
    <s v="Medium"/>
    <n v="2026"/>
    <n v="5"/>
    <s v="May"/>
    <s v="OK"/>
    <s v="Unique"/>
    <s v="Ready"/>
    <s v="Daynile - Fraud"/>
  </r>
  <r>
    <s v="CRM00228"/>
    <d v="2026-03-27T00:00:00"/>
    <x v="5"/>
    <s v="Waberi"/>
    <s v="Unknown"/>
    <s v="Under Investigation"/>
    <s v="Medium"/>
    <n v="2026"/>
    <n v="3"/>
    <s v="March"/>
    <s v="Needs Review"/>
    <s v="Unique"/>
    <s v="Review"/>
    <s v="Hodan - Theft"/>
  </r>
  <r>
    <s v="CRM00227"/>
    <d v="2025-11-03T00:00:00"/>
    <x v="3"/>
    <s v="Wadajir"/>
    <s v="Male"/>
    <s v="Closed"/>
    <s v="Low"/>
    <n v="2025"/>
    <n v="11"/>
    <s v="November"/>
    <s v="OK"/>
    <s v="Unique"/>
    <s v="Ready"/>
    <s v="Wadajir - Fraud"/>
  </r>
  <r>
    <s v="CRM00226"/>
    <d v="2025-03-20T00:00:00"/>
    <x v="0"/>
    <s v="Daynile"/>
    <s v="Male"/>
    <s v="Closed"/>
    <s v="High"/>
    <n v="2025"/>
    <n v="3"/>
    <s v="March"/>
    <s v="OK"/>
    <s v="Unique"/>
    <s v="Ready"/>
    <s v="Wadajir - Theft"/>
  </r>
  <r>
    <s v="CRM00225"/>
    <d v="2026-07-22T00:00:00"/>
    <x v="5"/>
    <s v="Wadajir"/>
    <s v="Female"/>
    <s v="Under Investigation"/>
    <s v="Medium"/>
    <n v="2026"/>
    <n v="7"/>
    <s v="July"/>
    <s v="OK"/>
    <s v="Unique"/>
    <s v="Ready"/>
    <s v="Hodan - Assault"/>
  </r>
  <r>
    <s v="CRM00224"/>
    <d v="2026-05-05T00:00:00"/>
    <x v="2"/>
    <s v="Wadajir"/>
    <s v="Female"/>
    <s v="Open"/>
    <s v="Medium"/>
    <n v="2026"/>
    <n v="5"/>
    <s v="May"/>
    <s v="OK"/>
    <s v="Unique"/>
    <s v="Ready"/>
    <s v="Daynile - Fraud"/>
  </r>
  <r>
    <s v="CRM00223"/>
    <d v="2026-07-12T00:00:00"/>
    <x v="2"/>
    <s v="Hodan"/>
    <s v="Male"/>
    <s v="Closed"/>
    <s v="Medium"/>
    <n v="2026"/>
    <n v="7"/>
    <s v="July"/>
    <s v="OK"/>
    <s v="Unique"/>
    <s v="Ready"/>
    <s v="Wadajir - Fraud"/>
  </r>
  <r>
    <s v="CRM00222"/>
    <d v="2025-01-10T00:00:00"/>
    <x v="2"/>
    <s v="Daynile"/>
    <s v="Male"/>
    <s v="Closed"/>
    <s v="Medium"/>
    <n v="2025"/>
    <n v="1"/>
    <s v="January"/>
    <s v="OK"/>
    <s v="Unique"/>
    <s v="Ready"/>
    <s v="Wadajir - Theft"/>
  </r>
  <r>
    <s v="CRM00221"/>
    <d v="2025-12-28T00:00:00"/>
    <x v="5"/>
    <s v="Yaqshid"/>
    <s v="Unknown"/>
    <s v="Under Investigation"/>
    <s v="Medium"/>
    <n v="2025"/>
    <n v="12"/>
    <s v="December"/>
    <s v="Needs Review"/>
    <s v="Unique"/>
    <s v="Review"/>
    <s v="Karan - Theft"/>
  </r>
  <r>
    <s v="CRM00220"/>
    <d v="2026-02-07T00:00:00"/>
    <x v="0"/>
    <s v="Hodan"/>
    <s v="Male"/>
    <s v="Open"/>
    <s v="High"/>
    <n v="2026"/>
    <n v="2"/>
    <s v="February"/>
    <s v="OK"/>
    <s v="Unique"/>
    <s v="Ready"/>
    <s v="Yaqshid - Robbery"/>
  </r>
  <r>
    <s v="CRM00219"/>
    <d v="2026-02-20T00:00:00"/>
    <x v="5"/>
    <s v="Yaqshid"/>
    <s v="Female"/>
    <s v="Closed"/>
    <s v="Medium"/>
    <n v="2026"/>
    <n v="2"/>
    <s v="February"/>
    <s v="OK"/>
    <s v="Unique"/>
    <s v="Ready"/>
    <s v="Hodan - Assault"/>
  </r>
  <r>
    <s v="CRM00218"/>
    <d v="2025-09-02T00:00:00"/>
    <x v="2"/>
    <s v="Hodan"/>
    <s v="Male"/>
    <s v="Closed"/>
    <s v="Medium"/>
    <n v="2025"/>
    <n v="9"/>
    <s v="September"/>
    <s v="OK"/>
    <s v="Unique"/>
    <s v="Ready"/>
    <s v="Yaqshid - Fraud"/>
  </r>
  <r>
    <s v="CRM00217"/>
    <d v="2025-02-09T00:00:00"/>
    <x v="0"/>
    <s v="Hodan"/>
    <s v="Male"/>
    <s v="Closed"/>
    <s v="High"/>
    <n v="2025"/>
    <n v="2"/>
    <s v="February"/>
    <s v="OK"/>
    <s v="Unique"/>
    <s v="Ready"/>
    <s v="Yaqshid - Fraud"/>
  </r>
  <r>
    <s v="CRM00216"/>
    <d v="2026-05-25T00:00:00"/>
    <x v="0"/>
    <s v="Karan"/>
    <s v="Male"/>
    <s v="Closed"/>
    <s v="High"/>
    <n v="2026"/>
    <n v="5"/>
    <s v="May"/>
    <s v="OK"/>
    <s v="Unique"/>
    <s v="Ready"/>
    <s v="Yaqshid - Robbery"/>
  </r>
  <r>
    <s v="CRM00215"/>
    <d v="2025-07-15T00:00:00"/>
    <x v="5"/>
    <s v="Daynile"/>
    <s v="Female"/>
    <s v="Under Investigation"/>
    <s v="Medium"/>
    <n v="2025"/>
    <n v="7"/>
    <s v="July"/>
    <s v="OK"/>
    <s v="Unique"/>
    <s v="Ready"/>
    <s v="Hodan - Theft"/>
  </r>
  <r>
    <s v="CRM00214"/>
    <d v="2025-07-31T00:00:00"/>
    <x v="0"/>
    <s v="Daynile"/>
    <s v="Male"/>
    <s v="Open"/>
    <s v="High"/>
    <n v="2025"/>
    <n v="7"/>
    <s v="July"/>
    <s v="OK"/>
    <s v="Unique"/>
    <s v="Ready"/>
    <s v="Waberi - Theft"/>
  </r>
  <r>
    <s v="CRM00213"/>
    <d v="2026-07-12T00:00:00"/>
    <x v="0"/>
    <s v="Wadajir"/>
    <s v="Male"/>
    <s v="Open"/>
    <s v="High"/>
    <n v="2026"/>
    <n v="7"/>
    <s v="July"/>
    <s v="OK"/>
    <s v="Unique"/>
    <s v="Ready"/>
    <s v="Wadajir - Fraud"/>
  </r>
  <r>
    <s v="CRM00212"/>
    <d v="2025-09-23T00:00:00"/>
    <x v="5"/>
    <s v="Hodan"/>
    <s v="Male"/>
    <s v="Closed"/>
    <s v="Medium"/>
    <n v="2025"/>
    <n v="9"/>
    <s v="September"/>
    <s v="OK"/>
    <s v="Unique"/>
    <s v="Ready"/>
    <s v="Wadajir - Robbery"/>
  </r>
  <r>
    <s v="CRM00211"/>
    <d v="2025-11-14T00:00:00"/>
    <x v="2"/>
    <s v="Wadajir"/>
    <s v="Male"/>
    <s v="Closed"/>
    <s v="Medium"/>
    <n v="2025"/>
    <n v="11"/>
    <s v="November"/>
    <s v="OK"/>
    <s v="Unique"/>
    <s v="Ready"/>
    <s v="Wadajir - Fraud"/>
  </r>
  <r>
    <s v="CRM00210"/>
    <d v="2025-04-08T00:00:00"/>
    <x v="5"/>
    <s v="Daynile"/>
    <s v="Female"/>
    <s v="Closed"/>
    <s v="High"/>
    <n v="2025"/>
    <n v="4"/>
    <s v="April"/>
    <s v="OK"/>
    <s v="Unique"/>
    <s v="Ready"/>
    <s v="Wadajir - Robbery"/>
  </r>
  <r>
    <s v="CRM00209"/>
    <d v="2025-06-25T00:00:00"/>
    <x v="2"/>
    <s v="Hodan"/>
    <s v="Female"/>
    <s v="Under Investigation"/>
    <s v="High"/>
    <n v="2025"/>
    <n v="6"/>
    <s v="June"/>
    <s v="OK"/>
    <s v="Unique"/>
    <s v="Ready"/>
    <s v="Wadajir - Robbery"/>
  </r>
  <r>
    <s v="CRM00208"/>
    <d v="2025-09-24T00:00:00"/>
    <x v="1"/>
    <s v="Karan"/>
    <s v="Unknown"/>
    <s v="Under Investigation"/>
    <s v="High"/>
    <n v="2025"/>
    <n v="9"/>
    <s v="September"/>
    <s v="Needs Review"/>
    <s v="Unique"/>
    <s v="Review"/>
    <s v="Wadajir - Burglary"/>
  </r>
  <r>
    <s v="CRM00207"/>
    <d v="2026-03-22T00:00:00"/>
    <x v="5"/>
    <s v="Daynile"/>
    <s v="Male"/>
    <s v="Closed"/>
    <s v="Medium"/>
    <n v="2026"/>
    <n v="3"/>
    <s v="March"/>
    <s v="OK"/>
    <s v="Unique"/>
    <s v="Ready"/>
    <s v="Daynile - Assault"/>
  </r>
  <r>
    <s v="CRM00206"/>
    <d v="2026-04-11T00:00:00"/>
    <x v="0"/>
    <s v="Daynile"/>
    <s v="Female"/>
    <s v="Closed"/>
    <s v="High"/>
    <n v="2026"/>
    <n v="4"/>
    <s v="April"/>
    <s v="OK"/>
    <s v="Unique"/>
    <s v="Ready"/>
    <s v="Hodan - Robbery"/>
  </r>
  <r>
    <s v="CRM00205"/>
    <d v="2025-08-11T00:00:00"/>
    <x v="0"/>
    <s v="Karan"/>
    <s v="Female"/>
    <s v="Open"/>
    <s v="High"/>
    <n v="2025"/>
    <n v="8"/>
    <s v="August"/>
    <s v="OK"/>
    <s v="Unique"/>
    <s v="Ready"/>
    <s v="Waberi - Fraud"/>
  </r>
  <r>
    <s v="CRM00204"/>
    <d v="2026-06-25T00:00:00"/>
    <x v="2"/>
    <s v="Waberi"/>
    <s v="Unknown"/>
    <s v="Under Investigation"/>
    <s v="Medium"/>
    <n v="2026"/>
    <n v="6"/>
    <s v="June"/>
    <s v="Needs Review"/>
    <s v="Unique"/>
    <s v="Review"/>
    <s v="Daynile - Fraud"/>
  </r>
  <r>
    <s v="CRM00203"/>
    <d v="2026-04-25T00:00:00"/>
    <x v="1"/>
    <s v="Karan"/>
    <s v="Unknown"/>
    <s v="Closed"/>
    <s v="High"/>
    <n v="2026"/>
    <n v="4"/>
    <s v="April"/>
    <s v="Needs Review"/>
    <s v="Unique"/>
    <s v="Review"/>
    <s v="Yaqshid - Fraud"/>
  </r>
  <r>
    <s v="CRM00202"/>
    <d v="2025-02-26T00:00:00"/>
    <x v="2"/>
    <s v="Hodan"/>
    <s v="Male"/>
    <s v="Under Investigation"/>
    <s v="High"/>
    <n v="2025"/>
    <n v="2"/>
    <s v="February"/>
    <s v="OK"/>
    <s v="Unique"/>
    <s v="Ready"/>
    <s v="Yaqshid - Fraud"/>
  </r>
  <r>
    <s v="CRM00201"/>
    <d v="2025-02-13T00:00:00"/>
    <x v="4"/>
    <s v="Wadajir"/>
    <s v="Male"/>
    <s v="Closed"/>
    <s v="Medium"/>
    <n v="2025"/>
    <n v="2"/>
    <s v="February"/>
    <s v="OK"/>
    <s v="Unique"/>
    <s v="Ready"/>
    <s v="Yaqshid - Fraud"/>
  </r>
  <r>
    <s v="CRM00200"/>
    <d v="2025-06-23T00:00:00"/>
    <x v="3"/>
    <s v="Hodan"/>
    <s v="Unknown"/>
    <s v="Closed"/>
    <s v="Low"/>
    <n v="2025"/>
    <n v="6"/>
    <s v="June"/>
    <s v="Needs Review"/>
    <s v="Unique"/>
    <s v="Review"/>
    <s v="Daynile - Theft"/>
  </r>
  <r>
    <s v="CRM00199"/>
    <d v="2026-05-15T00:00:00"/>
    <x v="5"/>
    <s v="Daynile"/>
    <s v="Male"/>
    <s v="Closed"/>
    <s v="Medium"/>
    <n v="2026"/>
    <n v="5"/>
    <s v="May"/>
    <s v="OK"/>
    <s v="Unique"/>
    <s v="Ready"/>
    <s v="Karan - Robbery"/>
  </r>
  <r>
    <s v="CRM00198"/>
    <d v="2025-02-17T00:00:00"/>
    <x v="0"/>
    <s v="Wadajir"/>
    <s v="Male"/>
    <s v="Open"/>
    <s v="High"/>
    <n v="2025"/>
    <n v="2"/>
    <s v="February"/>
    <s v="OK"/>
    <s v="Unique"/>
    <s v="Ready"/>
    <s v="Yaqshid - Assault"/>
  </r>
  <r>
    <s v="CRM00197"/>
    <d v="2026-02-13T00:00:00"/>
    <x v="4"/>
    <s v="Karan"/>
    <s v="Male"/>
    <s v="Closed"/>
    <s v="Medium"/>
    <n v="2026"/>
    <n v="2"/>
    <s v="February"/>
    <s v="OK"/>
    <s v="Unique"/>
    <s v="Ready"/>
    <s v="Karan - Fraud"/>
  </r>
  <r>
    <s v="CRM00196"/>
    <d v="2025-03-11T00:00:00"/>
    <x v="0"/>
    <s v="Hodan"/>
    <s v="Male"/>
    <s v="Under Investigation"/>
    <s v="High"/>
    <n v="2025"/>
    <n v="3"/>
    <s v="March"/>
    <s v="OK"/>
    <s v="Unique"/>
    <s v="Ready"/>
    <s v="Wadajir - Theft"/>
  </r>
  <r>
    <s v="CRM00195"/>
    <d v="2026-06-09T00:00:00"/>
    <x v="2"/>
    <s v="Wadajir"/>
    <s v="Male"/>
    <s v="Under Investigation"/>
    <s v="Medium"/>
    <n v="2026"/>
    <n v="6"/>
    <s v="June"/>
    <s v="OK"/>
    <s v="Unique"/>
    <s v="Ready"/>
    <s v="Hodan - Robbery"/>
  </r>
  <r>
    <s v="CRM00194"/>
    <d v="2025-04-18T00:00:00"/>
    <x v="2"/>
    <s v="Karan"/>
    <s v="Female"/>
    <s v="Under Investigation"/>
    <s v="High"/>
    <n v="2025"/>
    <n v="4"/>
    <s v="April"/>
    <s v="OK"/>
    <s v="Unique"/>
    <s v="Ready"/>
    <s v="Waberi - Theft"/>
  </r>
  <r>
    <s v="CRM00193"/>
    <d v="2026-07-12T00:00:00"/>
    <x v="0"/>
    <s v="Hodan"/>
    <s v="Male"/>
    <s v="Closed"/>
    <s v="High"/>
    <n v="2026"/>
    <n v="7"/>
    <s v="July"/>
    <s v="OK"/>
    <s v="Unique"/>
    <s v="Ready"/>
    <s v="Yaqshid - Assault"/>
  </r>
  <r>
    <s v="CRM00192"/>
    <d v="2025-05-27T00:00:00"/>
    <x v="1"/>
    <s v="Wadajir"/>
    <s v="Male"/>
    <s v="Closed"/>
    <s v="High"/>
    <n v="2025"/>
    <n v="5"/>
    <s v="May"/>
    <s v="OK"/>
    <s v="Unique"/>
    <s v="Ready"/>
    <s v="Waberi - Theft"/>
  </r>
  <r>
    <s v="CRM00191"/>
    <d v="2025-07-15T00:00:00"/>
    <x v="0"/>
    <s v="Hodan"/>
    <s v="Male"/>
    <s v="Open"/>
    <s v="Medium"/>
    <n v="2025"/>
    <n v="7"/>
    <s v="July"/>
    <s v="OK"/>
    <s v="Unique"/>
    <s v="Ready"/>
    <s v="Karan - Assault"/>
  </r>
  <r>
    <s v="CRM00190"/>
    <d v="2025-06-16T00:00:00"/>
    <x v="2"/>
    <s v="Wadajir"/>
    <s v="Female"/>
    <s v="Open"/>
    <s v="Medium"/>
    <n v="2025"/>
    <n v="6"/>
    <s v="June"/>
    <s v="OK"/>
    <s v="Unique"/>
    <s v="Ready"/>
    <s v="Hodan - Theft"/>
  </r>
  <r>
    <s v="CRM00189"/>
    <d v="2025-09-01T00:00:00"/>
    <x v="1"/>
    <s v="Waberi"/>
    <s v="Female"/>
    <s v="Open"/>
    <s v="High"/>
    <n v="2025"/>
    <n v="9"/>
    <s v="September"/>
    <s v="OK"/>
    <s v="Unique"/>
    <s v="Ready"/>
    <s v="Hodan - Assault"/>
  </r>
  <r>
    <s v="CRM00188"/>
    <d v="2026-02-02T00:00:00"/>
    <x v="0"/>
    <s v="Wadajir"/>
    <s v="Female"/>
    <s v="Open"/>
    <s v="High"/>
    <n v="2026"/>
    <n v="2"/>
    <s v="February"/>
    <s v="OK"/>
    <s v="Unique"/>
    <s v="Ready"/>
    <s v="Hodan - Robbery"/>
  </r>
  <r>
    <s v="CRM00187"/>
    <d v="2025-01-12T00:00:00"/>
    <x v="3"/>
    <s v="Yaqshid"/>
    <s v="Female"/>
    <s v="Under Investigation"/>
    <s v="Low"/>
    <n v="2025"/>
    <n v="1"/>
    <s v="January"/>
    <s v="OK"/>
    <s v="Unique"/>
    <s v="Ready"/>
    <s v="Wadajir - Theft"/>
  </r>
  <r>
    <s v="CRM00185"/>
    <d v="2025-11-09T00:00:00"/>
    <x v="3"/>
    <s v="Hodan"/>
    <s v="Unknown"/>
    <s v="Closed"/>
    <s v="Low"/>
    <n v="2025"/>
    <n v="11"/>
    <s v="November"/>
    <s v="Needs Review"/>
    <s v="Unique"/>
    <s v="Review"/>
    <s v="Hodan - Assault"/>
  </r>
  <r>
    <s v="CRM00183"/>
    <d v="2026-01-08T00:00:00"/>
    <x v="5"/>
    <s v="Daynile"/>
    <s v="Unknown"/>
    <s v="Open"/>
    <s v="High"/>
    <n v="2026"/>
    <n v="1"/>
    <s v="January"/>
    <s v="Needs Review"/>
    <s v="Unique"/>
    <s v="Review"/>
    <s v="Wadajir - Robbery"/>
  </r>
  <r>
    <s v="CRM00182"/>
    <d v="2026-07-20T00:00:00"/>
    <x v="2"/>
    <s v="Yaqshid"/>
    <s v="Female"/>
    <s v="Closed"/>
    <s v="Medium"/>
    <n v="2026"/>
    <n v="7"/>
    <s v="July"/>
    <s v="OK"/>
    <s v="Unique"/>
    <s v="Ready"/>
    <s v="Waberi - Assault"/>
  </r>
  <r>
    <s v="CRM00181"/>
    <d v="2026-01-03T00:00:00"/>
    <x v="1"/>
    <s v="Daynile"/>
    <s v="Male"/>
    <s v="Closed"/>
    <s v="High"/>
    <n v="2026"/>
    <n v="1"/>
    <s v="January"/>
    <s v="OK"/>
    <s v="Unique"/>
    <s v="Ready"/>
    <s v="Hodan - Theft"/>
  </r>
  <r>
    <s v="CRM00180"/>
    <d v="2025-07-19T00:00:00"/>
    <x v="2"/>
    <s v="Yaqshid"/>
    <s v="Male"/>
    <s v="Closed"/>
    <s v="Medium"/>
    <n v="2025"/>
    <n v="7"/>
    <s v="July"/>
    <s v="OK"/>
    <s v="Unique"/>
    <s v="Ready"/>
    <s v="Karan - Traffic Offense"/>
  </r>
  <r>
    <s v="CRM00179"/>
    <d v="2025-07-07T00:00:00"/>
    <x v="3"/>
    <s v="Wadajir"/>
    <s v="Male"/>
    <s v="Closed"/>
    <s v="Low"/>
    <n v="2025"/>
    <n v="7"/>
    <s v="July"/>
    <s v="OK"/>
    <s v="Unique"/>
    <s v="Ready"/>
    <s v="Wadajir - Assault"/>
  </r>
  <r>
    <s v="CRM00178"/>
    <d v="2026-06-09T00:00:00"/>
    <x v="2"/>
    <s v="Daynile"/>
    <s v="Unknown"/>
    <s v="Under Investigation"/>
    <s v="Medium"/>
    <n v="2026"/>
    <n v="6"/>
    <s v="June"/>
    <s v="Needs Review"/>
    <s v="Unique"/>
    <s v="Review"/>
    <s v="Hodan - Theft"/>
  </r>
  <r>
    <s v="CRM00177"/>
    <d v="2025-10-20T00:00:00"/>
    <x v="5"/>
    <s v="Waberi"/>
    <s v="Female"/>
    <s v="Closed"/>
    <s v="Medium"/>
    <n v="2025"/>
    <n v="10"/>
    <s v="October"/>
    <s v="OK"/>
    <s v="Unique"/>
    <s v="Ready"/>
    <s v="Waberi - Theft"/>
  </r>
  <r>
    <s v="CRM00176"/>
    <d v="2025-12-06T00:00:00"/>
    <x v="0"/>
    <s v="Karan"/>
    <s v="Male"/>
    <s v="Under Investigation"/>
    <s v="High"/>
    <n v="2025"/>
    <n v="12"/>
    <s v="December"/>
    <s v="OK"/>
    <s v="Unique"/>
    <s v="Ready"/>
    <s v="Yaqshid - Fraud"/>
  </r>
  <r>
    <s v="CRM00175"/>
    <d v="2025-04-23T00:00:00"/>
    <x v="0"/>
    <s v="Hodan"/>
    <s v="Male"/>
    <s v="Referred"/>
    <s v="High"/>
    <n v="2025"/>
    <n v="4"/>
    <s v="April"/>
    <s v="OK"/>
    <s v="Unique"/>
    <s v="Ready"/>
    <s v="Waberi - Assault"/>
  </r>
  <r>
    <s v="CRM00174"/>
    <d v="2025-04-20T00:00:00"/>
    <x v="5"/>
    <s v="Yaqshid"/>
    <s v="Male"/>
    <s v="Open"/>
    <s v="Medium"/>
    <n v="2025"/>
    <n v="4"/>
    <s v="April"/>
    <s v="OK"/>
    <s v="Unique"/>
    <s v="Ready"/>
    <s v="Yaqshid - Robbery"/>
  </r>
  <r>
    <s v="CRM00173"/>
    <d v="2025-06-18T00:00:00"/>
    <x v="2"/>
    <s v="Hodan"/>
    <s v="Unknown"/>
    <s v="Closed"/>
    <s v="Medium"/>
    <n v="2025"/>
    <n v="6"/>
    <s v="June"/>
    <s v="Needs Review"/>
    <s v="Unique"/>
    <s v="Review"/>
    <s v="Hodan - Assault"/>
  </r>
  <r>
    <s v="CRM00172"/>
    <d v="2026-07-12T00:00:00"/>
    <x v="2"/>
    <s v="Hodan"/>
    <s v="Male"/>
    <s v="Closed"/>
    <s v="Medium"/>
    <n v="2026"/>
    <n v="7"/>
    <s v="July"/>
    <s v="OK"/>
    <s v="Unique"/>
    <s v="Ready"/>
    <s v="Hodan - Theft"/>
  </r>
  <r>
    <s v="CRM00171"/>
    <d v="2026-04-21T00:00:00"/>
    <x v="2"/>
    <s v="Karan"/>
    <s v="Male"/>
    <s v="Open"/>
    <s v="Medium"/>
    <n v="2026"/>
    <n v="4"/>
    <s v="April"/>
    <s v="OK"/>
    <s v="Unique"/>
    <s v="Ready"/>
    <s v="Hodan - Assault"/>
  </r>
  <r>
    <s v="CRM00170"/>
    <d v="2025-02-02T00:00:00"/>
    <x v="0"/>
    <s v="Wadajir"/>
    <s v="Female"/>
    <s v="Open"/>
    <s v="High"/>
    <n v="2025"/>
    <n v="2"/>
    <s v="February"/>
    <s v="OK"/>
    <s v="Unique"/>
    <s v="Ready"/>
    <s v="Yaqshid - Theft"/>
  </r>
  <r>
    <s v="CRM00169"/>
    <d v="2026-05-13T00:00:00"/>
    <x v="3"/>
    <s v="Wadajir"/>
    <s v="Female"/>
    <s v="Closed"/>
    <s v="Low"/>
    <n v="2026"/>
    <n v="5"/>
    <s v="May"/>
    <s v="OK"/>
    <s v="Unique"/>
    <s v="Ready"/>
    <s v="Hodan - Theft"/>
  </r>
  <r>
    <s v="CRM00168"/>
    <d v="2026-05-30T00:00:00"/>
    <x v="2"/>
    <s v="Hodan"/>
    <s v="Male"/>
    <s v="Open"/>
    <s v="Medium"/>
    <n v="2026"/>
    <n v="5"/>
    <s v="May"/>
    <s v="OK"/>
    <s v="Unique"/>
    <s v="Ready"/>
    <s v="Daynile - Assault"/>
  </r>
  <r>
    <s v="CRM00167"/>
    <d v="2025-05-29T00:00:00"/>
    <x v="5"/>
    <s v="Wadajir"/>
    <s v="Unknown"/>
    <s v="Under Investigation"/>
    <s v="Medium"/>
    <n v="2025"/>
    <n v="5"/>
    <s v="May"/>
    <s v="Needs Review"/>
    <s v="Unique"/>
    <s v="Review"/>
    <s v="Karan - Robbery"/>
  </r>
  <r>
    <s v="CRM00166"/>
    <d v="2025-01-11T00:00:00"/>
    <x v="4"/>
    <s v="Hodan"/>
    <s v="Male"/>
    <s v="Closed"/>
    <s v="Medium"/>
    <n v="2025"/>
    <n v="1"/>
    <s v="January"/>
    <s v="OK"/>
    <s v="Unique"/>
    <s v="Ready"/>
    <s v="Hodan - Fraud"/>
  </r>
  <r>
    <s v="CRM00165"/>
    <d v="2025-11-16T00:00:00"/>
    <x v="2"/>
    <s v="Yaqshid"/>
    <s v="Male"/>
    <s v="Open"/>
    <s v="Medium"/>
    <n v="2025"/>
    <n v="11"/>
    <s v="November"/>
    <s v="OK"/>
    <s v="Unique"/>
    <s v="Ready"/>
    <s v="Wadajir - Fraud"/>
  </r>
  <r>
    <s v="CRM00164"/>
    <d v="2025-10-05T00:00:00"/>
    <x v="5"/>
    <s v="Yaqshid"/>
    <s v="Unknown"/>
    <s v="Under Investigation"/>
    <s v="Medium"/>
    <n v="2025"/>
    <n v="10"/>
    <s v="October"/>
    <s v="Needs Review"/>
    <s v="Unique"/>
    <s v="Review"/>
    <s v="Wadajir - Theft"/>
  </r>
  <r>
    <s v="CRM00163"/>
    <d v="2026-07-12T00:00:00"/>
    <x v="2"/>
    <s v="Wadajir"/>
    <s v="Male"/>
    <s v="Closed"/>
    <s v="Medium"/>
    <n v="2026"/>
    <n v="7"/>
    <s v="July"/>
    <s v="OK"/>
    <s v="Unique"/>
    <s v="Ready"/>
    <s v="Karan - Theft"/>
  </r>
  <r>
    <s v="CRM00162"/>
    <d v="2026-05-18T00:00:00"/>
    <x v="0"/>
    <s v="Hodan"/>
    <s v="Male"/>
    <s v="Open"/>
    <s v="High"/>
    <n v="2026"/>
    <n v="5"/>
    <s v="May"/>
    <s v="OK"/>
    <s v="Unique"/>
    <s v="Ready"/>
    <s v="Karan - Assault"/>
  </r>
  <r>
    <s v="CRM00161"/>
    <d v="2025-10-27T00:00:00"/>
    <x v="2"/>
    <s v="Karan"/>
    <s v="Male"/>
    <s v="Under Investigation"/>
    <s v="High"/>
    <n v="2025"/>
    <n v="10"/>
    <s v="October"/>
    <s v="OK"/>
    <s v="Unique"/>
    <s v="Ready"/>
    <s v="Wadajir - Theft"/>
  </r>
  <r>
    <s v="CRM00160"/>
    <d v="2025-02-25T00:00:00"/>
    <x v="0"/>
    <s v="Yaqshid"/>
    <s v="Male"/>
    <s v="Referred"/>
    <s v="High"/>
    <n v="2025"/>
    <n v="2"/>
    <s v="February"/>
    <s v="OK"/>
    <s v="Unique"/>
    <s v="Ready"/>
    <s v="Wadajir - Fraud"/>
  </r>
  <r>
    <s v="CRM00158"/>
    <d v="2025-09-19T00:00:00"/>
    <x v="0"/>
    <s v="Wadajir"/>
    <s v="Male"/>
    <s v="Under Investigation"/>
    <s v="High"/>
    <n v="2025"/>
    <n v="9"/>
    <s v="September"/>
    <s v="OK"/>
    <s v="Unique"/>
    <s v="Ready"/>
    <s v="Karan - Fraud"/>
  </r>
  <r>
    <s v="CRM00157"/>
    <d v="2026-05-14T00:00:00"/>
    <x v="1"/>
    <s v="Daynile"/>
    <s v="Female"/>
    <s v="Referred"/>
    <s v="High"/>
    <n v="2026"/>
    <n v="5"/>
    <s v="May"/>
    <s v="OK"/>
    <s v="Unique"/>
    <s v="Ready"/>
    <s v="Wadajir - Assault"/>
  </r>
  <r>
    <s v="CRM00156"/>
    <d v="2026-07-06T00:00:00"/>
    <x v="2"/>
    <s v="Waberi"/>
    <s v="Male"/>
    <s v="Closed"/>
    <s v="Medium"/>
    <n v="2026"/>
    <n v="7"/>
    <s v="July"/>
    <s v="OK"/>
    <s v="Unique"/>
    <s v="Ready"/>
    <s v="Daynile - Robbery"/>
  </r>
  <r>
    <s v="CRM00155"/>
    <d v="2026-01-29T00:00:00"/>
    <x v="0"/>
    <s v="Daynile"/>
    <s v="Male"/>
    <s v="Closed"/>
    <s v="High"/>
    <n v="2026"/>
    <n v="1"/>
    <s v="January"/>
    <s v="OK"/>
    <s v="Unique"/>
    <s v="Ready"/>
    <s v="Hodan - Assault"/>
  </r>
  <r>
    <s v="CRM00153"/>
    <d v="2026-04-06T00:00:00"/>
    <x v="2"/>
    <s v="Hodan"/>
    <s v="Unknown"/>
    <s v="Under Investigation"/>
    <s v="Medium"/>
    <n v="2026"/>
    <n v="4"/>
    <s v="April"/>
    <s v="Needs Review"/>
    <s v="Unique"/>
    <s v="Review"/>
    <s v="Waberi - Burglary"/>
  </r>
  <r>
    <s v="CRM00152"/>
    <d v="2026-02-02T00:00:00"/>
    <x v="5"/>
    <s v="Yaqshid"/>
    <s v="Female"/>
    <s v="Closed"/>
    <s v="Low"/>
    <n v="2026"/>
    <n v="2"/>
    <s v="February"/>
    <s v="OK"/>
    <s v="Unique"/>
    <s v="Ready"/>
    <s v="Karan - Theft"/>
  </r>
  <r>
    <s v="CRM00151"/>
    <d v="2025-12-27T00:00:00"/>
    <x v="1"/>
    <s v="Waberi"/>
    <s v="Female"/>
    <s v="Closed"/>
    <s v="High"/>
    <n v="2025"/>
    <n v="12"/>
    <s v="December"/>
    <s v="OK"/>
    <s v="Unique"/>
    <s v="Ready"/>
    <s v="Hodan - Theft"/>
  </r>
  <r>
    <s v="CRM00150"/>
    <d v="2026-01-15T00:00:00"/>
    <x v="2"/>
    <s v="Hodan"/>
    <s v="Female"/>
    <s v="Closed"/>
    <s v="Medium"/>
    <n v="2026"/>
    <n v="1"/>
    <s v="January"/>
    <s v="OK"/>
    <s v="Unique"/>
    <s v="Ready"/>
    <s v="Waberi - Fraud"/>
  </r>
  <r>
    <s v="CRM00149"/>
    <d v="2026-05-08T00:00:00"/>
    <x v="2"/>
    <s v="Hodan"/>
    <s v="Male"/>
    <s v="Under Investigation"/>
    <s v="Medium"/>
    <n v="2026"/>
    <n v="5"/>
    <s v="May"/>
    <s v="OK"/>
    <s v="Unique"/>
    <s v="Ready"/>
    <s v="Waberi - Robbery"/>
  </r>
  <r>
    <s v="CRM00148"/>
    <d v="2025-07-12T00:00:00"/>
    <x v="2"/>
    <s v="Wadajir"/>
    <s v="Unknown"/>
    <s v="Closed"/>
    <s v="Medium"/>
    <n v="2025"/>
    <n v="7"/>
    <s v="July"/>
    <s v="Needs Review"/>
    <s v="Unique"/>
    <s v="Review"/>
    <s v="Yaqshid - Theft"/>
  </r>
  <r>
    <s v="CRM00147"/>
    <d v="2025-08-07T00:00:00"/>
    <x v="0"/>
    <s v="Hodan"/>
    <s v="Female"/>
    <s v="Open"/>
    <s v="High"/>
    <n v="2025"/>
    <n v="8"/>
    <s v="August"/>
    <s v="OK"/>
    <s v="Unique"/>
    <s v="Ready"/>
    <s v="Wadajir - Fraud"/>
  </r>
  <r>
    <s v="CRM00146"/>
    <d v="2025-07-12T00:00:00"/>
    <x v="0"/>
    <s v="Waberi"/>
    <s v="Female"/>
    <s v="Open"/>
    <s v="High"/>
    <n v="2025"/>
    <n v="7"/>
    <s v="July"/>
    <s v="OK"/>
    <s v="Unique"/>
    <s v="Ready"/>
    <s v="Wadajir - Theft"/>
  </r>
  <r>
    <s v="CRM00145"/>
    <d v="2025-08-08T00:00:00"/>
    <x v="5"/>
    <s v="Waberi"/>
    <s v="Female"/>
    <s v="Closed"/>
    <s v="Medium"/>
    <n v="2025"/>
    <n v="8"/>
    <s v="August"/>
    <s v="OK"/>
    <s v="Unique"/>
    <s v="Ready"/>
    <s v="Yaqshid - Fraud"/>
  </r>
  <r>
    <s v="CRM00144"/>
    <d v="2026-02-26T00:00:00"/>
    <x v="5"/>
    <s v="Karan"/>
    <s v="Unknown"/>
    <s v="Under Investigation"/>
    <s v="Medium"/>
    <n v="2026"/>
    <n v="2"/>
    <s v="February"/>
    <s v="Needs Review"/>
    <s v="Unique"/>
    <s v="Review"/>
    <s v="Waberi - Robbery"/>
  </r>
  <r>
    <s v="CRM00143"/>
    <d v="2026-05-26T00:00:00"/>
    <x v="2"/>
    <s v="Wadajir"/>
    <s v="Female"/>
    <s v="Closed"/>
    <s v="Medium"/>
    <n v="2026"/>
    <n v="5"/>
    <s v="May"/>
    <s v="OK"/>
    <s v="Unique"/>
    <s v="Ready"/>
    <s v="Daynile - Robbery"/>
  </r>
  <r>
    <s v="CRM00142"/>
    <d v="2026-03-06T00:00:00"/>
    <x v="0"/>
    <s v="Hodan"/>
    <s v="Female"/>
    <s v="Open"/>
    <s v="High"/>
    <n v="2026"/>
    <n v="3"/>
    <s v="March"/>
    <s v="OK"/>
    <s v="Unique"/>
    <s v="Ready"/>
    <s v="Daynile - Fraud"/>
  </r>
  <r>
    <s v="CRM00141"/>
    <d v="2026-07-12T00:00:00"/>
    <x v="4"/>
    <s v="Wadajir"/>
    <s v="Female"/>
    <s v="Closed"/>
    <s v="Medium"/>
    <n v="2026"/>
    <n v="7"/>
    <s v="July"/>
    <s v="OK"/>
    <s v="Unique"/>
    <s v="Ready"/>
    <s v="Wadajir - Assault"/>
  </r>
  <r>
    <s v="CRM00140"/>
    <d v="2025-01-14T00:00:00"/>
    <x v="1"/>
    <s v="Wadajir"/>
    <s v="Female"/>
    <s v="Under Investigation"/>
    <s v="High"/>
    <n v="2025"/>
    <n v="1"/>
    <s v="January"/>
    <s v="OK"/>
    <s v="Unique"/>
    <s v="Ready"/>
    <s v="Daynile - Theft"/>
  </r>
  <r>
    <s v="CRM00139"/>
    <d v="2026-05-10T00:00:00"/>
    <x v="1"/>
    <s v="Karan"/>
    <s v="Male"/>
    <s v="Referred"/>
    <s v="High"/>
    <n v="2026"/>
    <n v="5"/>
    <s v="May"/>
    <s v="OK"/>
    <s v="Unique"/>
    <s v="Ready"/>
    <s v="Yaqshid - Burglary"/>
  </r>
  <r>
    <s v="CRM00138"/>
    <d v="2026-03-17T00:00:00"/>
    <x v="2"/>
    <s v="Yaqshid"/>
    <s v="Female"/>
    <s v="Under Investigation"/>
    <s v="Medium"/>
    <n v="2026"/>
    <n v="3"/>
    <s v="March"/>
    <s v="OK"/>
    <s v="Unique"/>
    <s v="Ready"/>
    <s v="Wadajir - Theft"/>
  </r>
  <r>
    <s v="CRM00137"/>
    <d v="2026-05-12T00:00:00"/>
    <x v="3"/>
    <s v="Karan"/>
    <s v="Male"/>
    <s v="Referred"/>
    <s v="Low"/>
    <n v="2026"/>
    <n v="5"/>
    <s v="May"/>
    <s v="OK"/>
    <s v="Unique"/>
    <s v="Ready"/>
    <s v="Daynile - Assault"/>
  </r>
  <r>
    <s v="CRM00136"/>
    <d v="2025-12-28T00:00:00"/>
    <x v="2"/>
    <s v="Yaqshid"/>
    <s v="Unknown"/>
    <s v="Closed"/>
    <s v="Medium"/>
    <n v="2025"/>
    <n v="12"/>
    <s v="December"/>
    <s v="Needs Review"/>
    <s v="Unique"/>
    <s v="Review"/>
    <s v="Yaqshid - Theft"/>
  </r>
  <r>
    <s v="CRM00135"/>
    <d v="2025-03-07T00:00:00"/>
    <x v="5"/>
    <s v="Yaqshid"/>
    <s v="Female"/>
    <s v="Open"/>
    <s v="Medium"/>
    <n v="2025"/>
    <n v="3"/>
    <s v="March"/>
    <s v="OK"/>
    <s v="Unique"/>
    <s v="Ready"/>
    <s v="Waberi - Theft"/>
  </r>
  <r>
    <s v="CRM00134"/>
    <d v="2025-07-28T00:00:00"/>
    <x v="0"/>
    <s v="Hodan"/>
    <s v="Unknown"/>
    <s v="Open"/>
    <s v="Medium"/>
    <n v="2025"/>
    <n v="7"/>
    <s v="July"/>
    <s v="Needs Review"/>
    <s v="Unique"/>
    <s v="Review"/>
    <s v="Hodan - Assault"/>
  </r>
  <r>
    <s v="CRM00133"/>
    <d v="2025-07-07T00:00:00"/>
    <x v="4"/>
    <s v="Karan"/>
    <s v="Male"/>
    <s v="Closed"/>
    <s v="Medium"/>
    <n v="2025"/>
    <n v="7"/>
    <s v="July"/>
    <s v="OK"/>
    <s v="Unique"/>
    <s v="Ready"/>
    <s v="Daynile - Theft"/>
  </r>
  <r>
    <s v="CRM00132"/>
    <d v="2025-04-01T00:00:00"/>
    <x v="4"/>
    <s v="Wadajir"/>
    <s v="Female"/>
    <s v="Closed"/>
    <s v="Medium"/>
    <n v="2025"/>
    <n v="4"/>
    <s v="April"/>
    <s v="OK"/>
    <s v="Unique"/>
    <s v="Ready"/>
    <s v="Hodan - Theft"/>
  </r>
  <r>
    <s v="CRM00131"/>
    <d v="2026-02-01T00:00:00"/>
    <x v="0"/>
    <s v="Yaqshid"/>
    <s v="Female"/>
    <s v="Referred"/>
    <s v="High"/>
    <n v="2026"/>
    <n v="2"/>
    <s v="February"/>
    <s v="OK"/>
    <s v="Unique"/>
    <s v="Ready"/>
    <s v="Hodan - Assault"/>
  </r>
  <r>
    <s v="CRM00130"/>
    <d v="2026-06-26T00:00:00"/>
    <x v="5"/>
    <s v="Hodan"/>
    <s v="Female"/>
    <s v="Referred"/>
    <s v="Medium"/>
    <n v="2026"/>
    <n v="6"/>
    <s v="June"/>
    <s v="OK"/>
    <s v="Unique"/>
    <s v="Ready"/>
    <s v="Yaqshid - Fraud"/>
  </r>
  <r>
    <s v="CRM00129"/>
    <d v="2026-07-29T00:00:00"/>
    <x v="5"/>
    <s v="Daynile"/>
    <s v="Female"/>
    <s v="Closed"/>
    <s v="Medium"/>
    <n v="2026"/>
    <n v="7"/>
    <s v="July"/>
    <s v="OK"/>
    <s v="Unique"/>
    <s v="Ready"/>
    <s v="Hodan - Fraud"/>
  </r>
  <r>
    <s v="CRM00128"/>
    <d v="2026-07-12T00:00:00"/>
    <x v="3"/>
    <s v="Karan"/>
    <s v="Male"/>
    <s v="Closed"/>
    <s v="Low"/>
    <n v="2026"/>
    <n v="7"/>
    <s v="July"/>
    <s v="OK"/>
    <s v="Unique"/>
    <s v="Ready"/>
    <s v="Karan - Robbery"/>
  </r>
  <r>
    <s v="CRM00127"/>
    <d v="2026-05-03T00:00:00"/>
    <x v="5"/>
    <s v="Wadajir"/>
    <s v="Male"/>
    <s v="Referred"/>
    <s v="Medium"/>
    <n v="2026"/>
    <n v="5"/>
    <s v="May"/>
    <s v="OK"/>
    <s v="Unique"/>
    <s v="Ready"/>
    <s v="Wadajir - Theft"/>
  </r>
  <r>
    <s v="CRM00126"/>
    <d v="2026-01-12T00:00:00"/>
    <x v="2"/>
    <s v="Hodan"/>
    <s v="Unknown"/>
    <s v="Open"/>
    <s v="Medium"/>
    <n v="2026"/>
    <n v="1"/>
    <s v="January"/>
    <s v="Needs Review"/>
    <s v="Unique"/>
    <s v="Review"/>
    <s v="Yaqshid - Theft"/>
  </r>
  <r>
    <s v="CRM00125"/>
    <d v="2026-04-16T00:00:00"/>
    <x v="0"/>
    <s v="Wadajir"/>
    <s v="Unknown"/>
    <s v="Referred"/>
    <s v="High"/>
    <n v="2026"/>
    <n v="4"/>
    <s v="April"/>
    <s v="Needs Review"/>
    <s v="Unique"/>
    <s v="Review"/>
    <s v="Wadajir - Traffic Offense"/>
  </r>
  <r>
    <s v="CRM00124"/>
    <d v="2025-05-26T00:00:00"/>
    <x v="1"/>
    <s v="Wadajir"/>
    <s v="Unknown"/>
    <s v="Open"/>
    <s v="High"/>
    <n v="2025"/>
    <n v="5"/>
    <s v="May"/>
    <s v="Needs Review"/>
    <s v="Unique"/>
    <s v="Review"/>
    <s v="Wadajir - Theft"/>
  </r>
  <r>
    <s v="CRM00123"/>
    <d v="2025-01-21T00:00:00"/>
    <x v="2"/>
    <s v="Yaqshid"/>
    <s v="Unknown"/>
    <s v="Closed"/>
    <s v="Medium"/>
    <n v="2025"/>
    <n v="1"/>
    <s v="January"/>
    <s v="Needs Review"/>
    <s v="Unique"/>
    <s v="Review"/>
    <s v="Hodan - Assault"/>
  </r>
  <r>
    <s v="CRM00122"/>
    <d v="2025-12-12T00:00:00"/>
    <x v="2"/>
    <s v="Hodan"/>
    <s v="Female"/>
    <s v="Under Investigation"/>
    <s v="Medium"/>
    <n v="2025"/>
    <n v="12"/>
    <s v="December"/>
    <s v="OK"/>
    <s v="Unique"/>
    <s v="Ready"/>
    <s v="Wadajir - Theft"/>
  </r>
  <r>
    <s v="CRM00121"/>
    <d v="2025-07-26T00:00:00"/>
    <x v="2"/>
    <s v="Daynile"/>
    <s v="Male"/>
    <s v="Referred"/>
    <s v="Low"/>
    <n v="2025"/>
    <n v="7"/>
    <s v="July"/>
    <s v="OK"/>
    <s v="Unique"/>
    <s v="Ready"/>
    <s v="Wadajir - Assault"/>
  </r>
  <r>
    <s v="CRM00120"/>
    <d v="2025-10-15T00:00:00"/>
    <x v="5"/>
    <s v="Hodan"/>
    <s v="Unknown"/>
    <s v="Referred"/>
    <s v="Medium"/>
    <n v="2025"/>
    <n v="10"/>
    <s v="October"/>
    <s v="Needs Review"/>
    <s v="Unique"/>
    <s v="Review"/>
    <s v="Hodan - Fraud"/>
  </r>
  <r>
    <s v="CRM00119"/>
    <d v="2025-11-13T00:00:00"/>
    <x v="1"/>
    <s v="Yaqshid"/>
    <s v="Male"/>
    <s v="Closed"/>
    <s v="High"/>
    <n v="2025"/>
    <n v="11"/>
    <s v="November"/>
    <s v="OK"/>
    <s v="Unique"/>
    <s v="Ready"/>
    <s v="Wadajir - Theft"/>
  </r>
  <r>
    <s v="CRM00118"/>
    <d v="2025-06-24T00:00:00"/>
    <x v="2"/>
    <s v="Hodan"/>
    <s v="Male"/>
    <s v="Referred"/>
    <s v="Medium"/>
    <n v="2025"/>
    <n v="6"/>
    <s v="June"/>
    <s v="OK"/>
    <s v="Unique"/>
    <s v="Ready"/>
    <s v="Hodan - Theft"/>
  </r>
  <r>
    <s v="CRM00117"/>
    <d v="2026-07-31T00:00:00"/>
    <x v="2"/>
    <s v="Wadajir"/>
    <s v="Male"/>
    <s v="Closed"/>
    <s v="Medium"/>
    <n v="2026"/>
    <n v="7"/>
    <s v="July"/>
    <s v="OK"/>
    <s v="Unique"/>
    <s v="Ready"/>
    <s v="Waberi - Traffic Offense"/>
  </r>
  <r>
    <s v="CRM00116"/>
    <d v="2025-04-07T00:00:00"/>
    <x v="0"/>
    <s v="Waberi"/>
    <s v="Male"/>
    <s v="Closed"/>
    <s v="High"/>
    <n v="2025"/>
    <n v="4"/>
    <s v="April"/>
    <s v="OK"/>
    <s v="Unique"/>
    <s v="Ready"/>
    <s v="Wadajir - Theft"/>
  </r>
  <r>
    <s v="CRM00114"/>
    <d v="2025-11-23T00:00:00"/>
    <x v="0"/>
    <s v="Hodan"/>
    <s v="Male"/>
    <s v="Closed"/>
    <s v="High"/>
    <n v="2025"/>
    <n v="11"/>
    <s v="November"/>
    <s v="OK"/>
    <s v="Unique"/>
    <s v="Ready"/>
    <s v="Wadajir - Fraud"/>
  </r>
  <r>
    <s v="CRM00113"/>
    <d v="2025-09-01T00:00:00"/>
    <x v="1"/>
    <s v="Hodan"/>
    <s v="Male"/>
    <s v="Closed"/>
    <s v="High"/>
    <n v="2025"/>
    <n v="9"/>
    <s v="September"/>
    <s v="OK"/>
    <s v="Unique"/>
    <s v="Ready"/>
    <s v="Hodan - Theft"/>
  </r>
  <r>
    <s v="CRM00112"/>
    <d v="2025-08-01T00:00:00"/>
    <x v="2"/>
    <s v="Karan"/>
    <s v="Unknown"/>
    <s v="Open"/>
    <s v="Medium"/>
    <n v="2025"/>
    <n v="8"/>
    <s v="August"/>
    <s v="Needs Review"/>
    <s v="Unique"/>
    <s v="Review"/>
    <s v="Hodan - Assault"/>
  </r>
  <r>
    <s v="CRM00111"/>
    <d v="2026-05-29T00:00:00"/>
    <x v="2"/>
    <s v="Daynile"/>
    <s v="Male"/>
    <s v="Closed"/>
    <s v="Medium"/>
    <n v="2026"/>
    <n v="5"/>
    <s v="May"/>
    <s v="OK"/>
    <s v="Unique"/>
    <s v="Ready"/>
    <s v="Wadajir - Traffic Offense"/>
  </r>
  <r>
    <s v="CRM00109"/>
    <d v="2026-03-23T00:00:00"/>
    <x v="1"/>
    <s v="Yaqshid"/>
    <s v="Male"/>
    <s v="Closed"/>
    <s v="Medium"/>
    <n v="2026"/>
    <n v="3"/>
    <s v="March"/>
    <s v="OK"/>
    <s v="Unique"/>
    <s v="Ready"/>
    <s v="Hodan - Traffic Offense"/>
  </r>
  <r>
    <s v="CRM00107"/>
    <d v="2025-08-24T00:00:00"/>
    <x v="1"/>
    <s v="Waberi"/>
    <s v="Male"/>
    <s v="Referred"/>
    <s v="High"/>
    <n v="2025"/>
    <n v="8"/>
    <s v="August"/>
    <s v="OK"/>
    <s v="Unique"/>
    <s v="Ready"/>
    <s v="Hodan - Theft"/>
  </r>
  <r>
    <s v="CRM00106"/>
    <d v="2026-04-18T00:00:00"/>
    <x v="2"/>
    <s v="Waberi"/>
    <s v="Unknown"/>
    <s v="Open"/>
    <s v="Medium"/>
    <n v="2026"/>
    <n v="4"/>
    <s v="April"/>
    <s v="Needs Review"/>
    <s v="Unique"/>
    <s v="Review"/>
    <s v="Hodan - Traffic Offense"/>
  </r>
  <r>
    <s v="CRM00105"/>
    <d v="2025-04-08T00:00:00"/>
    <x v="3"/>
    <s v="Karan"/>
    <s v="Male"/>
    <s v="Closed"/>
    <s v="Low"/>
    <n v="2025"/>
    <n v="4"/>
    <s v="April"/>
    <s v="OK"/>
    <s v="Unique"/>
    <s v="Ready"/>
    <s v="Hodan - Theft"/>
  </r>
  <r>
    <s v="CRM00104"/>
    <d v="2025-05-16T00:00:00"/>
    <x v="1"/>
    <s v="Yaqshid"/>
    <s v="Male"/>
    <s v="Under Investigation"/>
    <s v="High"/>
    <n v="2025"/>
    <n v="5"/>
    <s v="May"/>
    <s v="OK"/>
    <s v="Unique"/>
    <s v="Ready"/>
    <s v="Yaqshid - Robbery"/>
  </r>
  <r>
    <s v="CRM00103"/>
    <d v="2026-02-14T00:00:00"/>
    <x v="1"/>
    <s v="Hodan"/>
    <s v="Female"/>
    <s v="Closed"/>
    <s v="High"/>
    <n v="2026"/>
    <n v="2"/>
    <s v="February"/>
    <s v="OK"/>
    <s v="Unique"/>
    <s v="Ready"/>
    <s v="Hodan - Theft"/>
  </r>
  <r>
    <s v="CRM00102"/>
    <d v="2025-10-30T00:00:00"/>
    <x v="2"/>
    <s v="Yaqshid"/>
    <s v="Female"/>
    <s v="Closed"/>
    <s v="Medium"/>
    <n v="2025"/>
    <n v="10"/>
    <s v="October"/>
    <s v="OK"/>
    <s v="Unique"/>
    <s v="Ready"/>
    <s v="Hodan - Robbery"/>
  </r>
  <r>
    <s v="CRM00101"/>
    <d v="2025-03-13T00:00:00"/>
    <x v="0"/>
    <s v="Hodan"/>
    <s v="Male"/>
    <s v="Open"/>
    <s v="High"/>
    <n v="2025"/>
    <n v="3"/>
    <s v="March"/>
    <s v="OK"/>
    <s v="Unique"/>
    <s v="Ready"/>
    <s v="Waberi - Theft"/>
  </r>
  <r>
    <s v="CRM00100"/>
    <d v="2025-08-15T00:00:00"/>
    <x v="3"/>
    <s v="Wadajir"/>
    <s v="Unknown"/>
    <s v="Under Investigation"/>
    <s v="Low"/>
    <n v="2025"/>
    <n v="8"/>
    <s v="August"/>
    <s v="Needs Review"/>
    <s v="Unique"/>
    <s v="Review"/>
    <s v="Hodan - Fraud"/>
  </r>
  <r>
    <s v="CRM00099"/>
    <d v="2026-04-17T00:00:00"/>
    <x v="2"/>
    <s v="Wadajir"/>
    <s v="Male"/>
    <s v="Referred"/>
    <s v="Medium"/>
    <n v="2026"/>
    <n v="4"/>
    <s v="April"/>
    <s v="OK"/>
    <s v="Unique"/>
    <s v="Ready"/>
    <s v="Daynile - Assault"/>
  </r>
  <r>
    <s v="CRM00098"/>
    <d v="2025-05-07T00:00:00"/>
    <x v="5"/>
    <s v="Hodan"/>
    <s v="Male"/>
    <s v="Closed"/>
    <s v="Medium"/>
    <n v="2025"/>
    <n v="5"/>
    <s v="May"/>
    <s v="OK"/>
    <s v="Unique"/>
    <s v="Ready"/>
    <s v="Waberi - Robbery"/>
  </r>
  <r>
    <s v="CRM00097"/>
    <d v="2026-07-13T00:00:00"/>
    <x v="0"/>
    <s v="Waberi"/>
    <s v="Female"/>
    <s v="Under Investigation"/>
    <s v="High"/>
    <n v="2026"/>
    <n v="7"/>
    <s v="July"/>
    <s v="OK"/>
    <s v="Unique"/>
    <s v="Ready"/>
    <s v="Hodan - Fraud"/>
  </r>
  <r>
    <s v="CRM00096"/>
    <d v="2025-04-08T00:00:00"/>
    <x v="5"/>
    <s v="Daynile"/>
    <s v="Male"/>
    <s v="Under Investigation"/>
    <s v="Medium"/>
    <n v="2025"/>
    <n v="4"/>
    <s v="April"/>
    <s v="OK"/>
    <s v="Unique"/>
    <s v="Ready"/>
    <s v="Daynile - Robbery"/>
  </r>
  <r>
    <s v="CRM00094"/>
    <d v="2026-02-08T00:00:00"/>
    <x v="2"/>
    <s v="Wadajir"/>
    <s v="Male"/>
    <s v="Closed"/>
    <s v="Medium"/>
    <n v="2026"/>
    <n v="2"/>
    <s v="February"/>
    <s v="OK"/>
    <s v="Unique"/>
    <s v="Ready"/>
    <s v="Waberi - Fraud"/>
  </r>
  <r>
    <s v="CRM00093"/>
    <d v="2025-05-30T00:00:00"/>
    <x v="2"/>
    <s v="Waberi"/>
    <s v="Male"/>
    <s v="Closed"/>
    <s v="Medium"/>
    <n v="2025"/>
    <n v="5"/>
    <s v="May"/>
    <s v="OK"/>
    <s v="Unique"/>
    <s v="Ready"/>
    <s v="Wadajir - Burglary"/>
  </r>
  <r>
    <s v="CRM00092"/>
    <d v="2026-03-10T00:00:00"/>
    <x v="0"/>
    <s v="Hodan"/>
    <s v="Female"/>
    <s v="Closed"/>
    <s v="Medium"/>
    <n v="2026"/>
    <n v="3"/>
    <s v="March"/>
    <s v="OK"/>
    <s v="Unique"/>
    <s v="Ready"/>
    <s v="Yaqshid - Theft"/>
  </r>
  <r>
    <s v="CRM00091"/>
    <d v="2026-04-15T00:00:00"/>
    <x v="1"/>
    <s v="Hodan"/>
    <s v="Male"/>
    <s v="Closed"/>
    <s v="High"/>
    <n v="2026"/>
    <n v="4"/>
    <s v="April"/>
    <s v="OK"/>
    <s v="Unique"/>
    <s v="Ready"/>
    <s v="Hodan - Assault"/>
  </r>
  <r>
    <s v="CRM00090"/>
    <d v="2025-12-04T00:00:00"/>
    <x v="0"/>
    <s v="Karan"/>
    <s v="Male"/>
    <s v="Closed"/>
    <s v="High"/>
    <n v="2025"/>
    <n v="12"/>
    <s v="December"/>
    <s v="OK"/>
    <s v="Unique"/>
    <s v="Ready"/>
    <s v="Karan - Assault"/>
  </r>
  <r>
    <s v="CRM00088"/>
    <d v="2025-09-30T00:00:00"/>
    <x v="1"/>
    <s v="Wadajir"/>
    <s v="Male"/>
    <s v="Under Investigation"/>
    <s v="High"/>
    <n v="2025"/>
    <n v="9"/>
    <s v="September"/>
    <s v="OK"/>
    <s v="Unique"/>
    <s v="Ready"/>
    <s v="Wadajir - Theft"/>
  </r>
  <r>
    <s v="CRM00087"/>
    <d v="2025-09-09T00:00:00"/>
    <x v="4"/>
    <s v="Yaqshid"/>
    <s v="Unknown"/>
    <s v="Open"/>
    <s v="Medium"/>
    <n v="2025"/>
    <n v="9"/>
    <s v="September"/>
    <s v="Needs Review"/>
    <s v="Unique"/>
    <s v="Review"/>
    <s v="Wadajir - Theft"/>
  </r>
  <r>
    <s v="CRM00086"/>
    <d v="2025-10-14T00:00:00"/>
    <x v="5"/>
    <s v="Daynile"/>
    <s v="Female"/>
    <s v="Under Investigation"/>
    <s v="Medium"/>
    <n v="2025"/>
    <n v="10"/>
    <s v="October"/>
    <s v="OK"/>
    <s v="Unique"/>
    <s v="Ready"/>
    <s v="Hodan - Fraud"/>
  </r>
  <r>
    <s v="CRM00085"/>
    <d v="2025-12-09T00:00:00"/>
    <x v="2"/>
    <s v="Hodan"/>
    <s v="Male"/>
    <s v="Open"/>
    <s v="Medium"/>
    <n v="2025"/>
    <n v="12"/>
    <s v="December"/>
    <s v="OK"/>
    <s v="Unique"/>
    <s v="Ready"/>
    <s v="Karan - Theft"/>
  </r>
  <r>
    <s v="CRM00083"/>
    <d v="2025-06-25T00:00:00"/>
    <x v="5"/>
    <s v="Hodan"/>
    <s v="Female"/>
    <s v="Open"/>
    <s v="Medium"/>
    <n v="2025"/>
    <n v="6"/>
    <s v="June"/>
    <s v="OK"/>
    <s v="Unique"/>
    <s v="Ready"/>
    <s v="Hodan - Fraud"/>
  </r>
  <r>
    <s v="CRM00082"/>
    <d v="2025-01-25T00:00:00"/>
    <x v="2"/>
    <s v="Daynile"/>
    <s v="Female"/>
    <s v="Under Investigation"/>
    <s v="Medium"/>
    <n v="2025"/>
    <n v="1"/>
    <s v="January"/>
    <s v="OK"/>
    <s v="Unique"/>
    <s v="Ready"/>
    <s v="Waberi - Theft"/>
  </r>
  <r>
    <s v="CRM00081"/>
    <d v="2025-06-22T00:00:00"/>
    <x v="2"/>
    <s v="Karan"/>
    <s v="Male"/>
    <s v="Closed"/>
    <s v="Medium"/>
    <n v="2025"/>
    <n v="6"/>
    <s v="June"/>
    <s v="OK"/>
    <s v="Unique"/>
    <s v="Ready"/>
    <s v="Yaqshid - Burglary"/>
  </r>
  <r>
    <s v="CRM00078"/>
    <d v="2026-03-06T00:00:00"/>
    <x v="3"/>
    <s v="Hodan"/>
    <s v="Male"/>
    <s v="Closed"/>
    <s v="Low"/>
    <n v="2026"/>
    <n v="3"/>
    <s v="March"/>
    <s v="OK"/>
    <s v="Unique"/>
    <s v="Ready"/>
    <s v="Wadajir - Traffic Offense"/>
  </r>
  <r>
    <s v="CRM00077"/>
    <d v="2026-05-01T00:00:00"/>
    <x v="3"/>
    <s v="Hodan"/>
    <s v="Male"/>
    <s v="Closed"/>
    <s v="High"/>
    <n v="2026"/>
    <n v="5"/>
    <s v="May"/>
    <s v="OK"/>
    <s v="Unique"/>
    <s v="Ready"/>
    <s v="Hodan - Fraud"/>
  </r>
  <r>
    <s v="CRM00076"/>
    <d v="2025-11-30T00:00:00"/>
    <x v="2"/>
    <s v="Yaqshid"/>
    <s v="Female"/>
    <s v="Referred"/>
    <s v="Medium"/>
    <n v="2025"/>
    <n v="11"/>
    <s v="November"/>
    <s v="OK"/>
    <s v="Unique"/>
    <s v="Ready"/>
    <s v="Hodan - Theft"/>
  </r>
  <r>
    <s v="CRM00075"/>
    <d v="2025-12-11T00:00:00"/>
    <x v="2"/>
    <s v="Hodan"/>
    <s v="Female"/>
    <s v="Open"/>
    <s v="Medium"/>
    <n v="2025"/>
    <n v="12"/>
    <s v="December"/>
    <s v="OK"/>
    <s v="Unique"/>
    <s v="Ready"/>
    <s v="Daynile - Traffic Offense"/>
  </r>
  <r>
    <s v="CRM00074"/>
    <d v="2025-09-24T00:00:00"/>
    <x v="2"/>
    <s v="Hodan"/>
    <s v="Female"/>
    <s v="Under Investigation"/>
    <s v="Medium"/>
    <n v="2025"/>
    <n v="9"/>
    <s v="September"/>
    <s v="OK"/>
    <s v="Unique"/>
    <s v="Ready"/>
    <s v="Wadajir - Fraud"/>
  </r>
  <r>
    <s v="CRM00073"/>
    <d v="2025-11-13T00:00:00"/>
    <x v="3"/>
    <s v="Yaqshid"/>
    <s v="Female"/>
    <s v="Under Investigation"/>
    <s v="Low"/>
    <n v="2025"/>
    <n v="11"/>
    <s v="November"/>
    <s v="OK"/>
    <s v="Unique"/>
    <s v="Ready"/>
    <s v="Waberi - Theft"/>
  </r>
  <r>
    <s v="CRM00072"/>
    <d v="2025-02-06T00:00:00"/>
    <x v="5"/>
    <s v="Yaqshid"/>
    <s v="Female"/>
    <s v="Referred"/>
    <s v="Medium"/>
    <n v="2025"/>
    <n v="2"/>
    <s v="February"/>
    <s v="OK"/>
    <s v="Unique"/>
    <s v="Ready"/>
    <s v="Daynile - Assault"/>
  </r>
  <r>
    <s v="CRM00071"/>
    <d v="2026-07-20T00:00:00"/>
    <x v="3"/>
    <s v="Daynile"/>
    <s v="Male"/>
    <s v="Closed"/>
    <s v="Low"/>
    <n v="2026"/>
    <n v="7"/>
    <s v="July"/>
    <s v="OK"/>
    <s v="Unique"/>
    <s v="Ready"/>
    <s v="Hodan - Robbery"/>
  </r>
  <r>
    <s v="CRM00070"/>
    <d v="2026-01-22T00:00:00"/>
    <x v="1"/>
    <s v="Hodan"/>
    <s v="Male"/>
    <s v="Closed"/>
    <s v="High"/>
    <n v="2026"/>
    <n v="1"/>
    <s v="January"/>
    <s v="OK"/>
    <s v="Unique"/>
    <s v="Ready"/>
    <s v="Hodan - Robbery"/>
  </r>
  <r>
    <s v="CRM00068"/>
    <d v="2025-08-20T00:00:00"/>
    <x v="2"/>
    <s v="Yaqshid"/>
    <s v="Female"/>
    <s v="Closed"/>
    <s v="Medium"/>
    <n v="2025"/>
    <n v="8"/>
    <s v="August"/>
    <s v="OK"/>
    <s v="Unique"/>
    <s v="Ready"/>
    <s v="Wadajir - Burglary"/>
  </r>
  <r>
    <s v="CRM00067"/>
    <d v="2025-11-27T00:00:00"/>
    <x v="2"/>
    <s v="Hodan"/>
    <s v="Male"/>
    <s v="Closed"/>
    <s v="Medium"/>
    <n v="2025"/>
    <n v="11"/>
    <s v="November"/>
    <s v="OK"/>
    <s v="Unique"/>
    <s v="Ready"/>
    <s v="Hodan - Theft"/>
  </r>
  <r>
    <s v="CRM00066"/>
    <d v="2025-06-14T00:00:00"/>
    <x v="4"/>
    <s v="Wadajir"/>
    <s v="Female"/>
    <s v="Under Investigation"/>
    <s v="Medium"/>
    <n v="2025"/>
    <n v="6"/>
    <s v="June"/>
    <s v="OK"/>
    <s v="Unique"/>
    <s v="Ready"/>
    <s v="Hodan - Fraud"/>
  </r>
  <r>
    <s v="CRM00065"/>
    <d v="2025-03-07T00:00:00"/>
    <x v="5"/>
    <s v="Yaqshid"/>
    <s v="Male"/>
    <s v="Closed"/>
    <s v="Medium"/>
    <n v="2025"/>
    <n v="3"/>
    <s v="March"/>
    <s v="OK"/>
    <s v="Unique"/>
    <s v="Ready"/>
    <s v="Yaqshid - Assault"/>
  </r>
  <r>
    <s v="CRM00064"/>
    <d v="2025-08-16T00:00:00"/>
    <x v="1"/>
    <s v="Karan"/>
    <s v="Male"/>
    <s v="Open"/>
    <s v="Medium"/>
    <n v="2025"/>
    <n v="8"/>
    <s v="August"/>
    <s v="OK"/>
    <s v="Unique"/>
    <s v="Ready"/>
    <s v="Daynile - Traffic Offense"/>
  </r>
  <r>
    <s v="CRM00063"/>
    <d v="2025-07-29T00:00:00"/>
    <x v="4"/>
    <s v="Yaqshid"/>
    <s v="Female"/>
    <s v="Closed"/>
    <s v="Medium"/>
    <n v="2025"/>
    <n v="7"/>
    <s v="July"/>
    <s v="OK"/>
    <s v="Unique"/>
    <s v="Ready"/>
    <s v="Hodan - Traffic Offense"/>
  </r>
  <r>
    <s v="CRM00062"/>
    <d v="2026-07-03T00:00:00"/>
    <x v="5"/>
    <s v="Hodan"/>
    <s v="Male"/>
    <s v="Referred"/>
    <s v="Medium"/>
    <n v="2026"/>
    <n v="7"/>
    <s v="July"/>
    <s v="OK"/>
    <s v="Unique"/>
    <s v="Ready"/>
    <s v="Karan - Robbery"/>
  </r>
  <r>
    <s v="CRM00061"/>
    <d v="2025-04-14T00:00:00"/>
    <x v="2"/>
    <s v="Wadajir"/>
    <s v="Male"/>
    <s v="Open"/>
    <s v="Medium"/>
    <n v="2025"/>
    <n v="4"/>
    <s v="April"/>
    <s v="OK"/>
    <s v="Unique"/>
    <s v="Ready"/>
    <s v="Wadajir - Traffic Offense"/>
  </r>
  <r>
    <s v="CRM00060"/>
    <d v="2026-01-29T00:00:00"/>
    <x v="5"/>
    <s v="Wadajir"/>
    <s v="Female"/>
    <s v="Under Investigation"/>
    <s v="High"/>
    <n v="2026"/>
    <n v="1"/>
    <s v="January"/>
    <s v="OK"/>
    <s v="Unique"/>
    <s v="Ready"/>
    <s v="Hodan - Theft"/>
  </r>
  <r>
    <s v="CRM00059"/>
    <d v="2025-02-22T00:00:00"/>
    <x v="2"/>
    <s v="Wadajir"/>
    <s v="Unknown"/>
    <s v="Open"/>
    <s v="Medium"/>
    <n v="2025"/>
    <n v="2"/>
    <s v="February"/>
    <s v="Needs Review"/>
    <s v="Unique"/>
    <s v="Review"/>
    <s v="Hodan - Traffic Offense"/>
  </r>
  <r>
    <s v="CRM00058"/>
    <d v="2025-03-30T00:00:00"/>
    <x v="2"/>
    <s v="Hodan"/>
    <s v="Unknown"/>
    <s v="Closed"/>
    <s v="Medium"/>
    <n v="2025"/>
    <n v="3"/>
    <s v="March"/>
    <s v="Needs Review"/>
    <s v="Unique"/>
    <s v="Review"/>
    <s v="Hodan - Fraud"/>
  </r>
  <r>
    <s v="CRM00057"/>
    <d v="2025-01-24T00:00:00"/>
    <x v="3"/>
    <s v="Waberi"/>
    <s v="Female"/>
    <s v="Under Investigation"/>
    <s v="Low"/>
    <n v="2025"/>
    <n v="1"/>
    <s v="January"/>
    <s v="OK"/>
    <s v="Unique"/>
    <s v="Ready"/>
    <s v="Waberi - Burglary"/>
  </r>
  <r>
    <s v="CRM00055"/>
    <d v="2025-09-08T00:00:00"/>
    <x v="3"/>
    <s v="Waberi"/>
    <s v="Male"/>
    <s v="Under Investigation"/>
    <s v="Low"/>
    <n v="2025"/>
    <n v="9"/>
    <s v="September"/>
    <s v="OK"/>
    <s v="Unique"/>
    <s v="Ready"/>
    <s v="Yaqshid - Assault"/>
  </r>
  <r>
    <s v="CRM00054"/>
    <d v="2025-07-11T00:00:00"/>
    <x v="2"/>
    <s v="Karan"/>
    <s v="Male"/>
    <s v="Closed"/>
    <s v="Low"/>
    <n v="2025"/>
    <n v="7"/>
    <s v="July"/>
    <s v="OK"/>
    <s v="Unique"/>
    <s v="Ready"/>
    <s v="Waberi - Assault"/>
  </r>
  <r>
    <s v="CRM00053"/>
    <d v="2026-07-12T00:00:00"/>
    <x v="1"/>
    <s v="Waberi"/>
    <s v="Female"/>
    <s v="Closed"/>
    <s v="High"/>
    <n v="2026"/>
    <n v="7"/>
    <s v="July"/>
    <s v="OK"/>
    <s v="Unique"/>
    <s v="Ready"/>
    <s v="Waberi - Theft"/>
  </r>
  <r>
    <s v="CRM00052"/>
    <d v="2025-02-03T00:00:00"/>
    <x v="1"/>
    <s v="Wadajir"/>
    <s v="Female"/>
    <s v="Under Investigation"/>
    <s v="Medium"/>
    <n v="2025"/>
    <n v="2"/>
    <s v="February"/>
    <s v="OK"/>
    <s v="Unique"/>
    <s v="Ready"/>
    <s v="Hodan - Assault"/>
  </r>
  <r>
    <s v="CRM00051"/>
    <d v="2025-09-21T00:00:00"/>
    <x v="0"/>
    <s v="Daynile"/>
    <s v="Female"/>
    <s v="Under Investigation"/>
    <s v="High"/>
    <n v="2025"/>
    <n v="9"/>
    <s v="September"/>
    <s v="OK"/>
    <s v="Unique"/>
    <s v="Ready"/>
    <s v="Wadajir - Traffic Offense"/>
  </r>
  <r>
    <s v="CRM00050"/>
    <d v="2026-07-27T00:00:00"/>
    <x v="5"/>
    <s v="Yaqshid"/>
    <s v="Male"/>
    <s v="Closed"/>
    <s v="Medium"/>
    <n v="2026"/>
    <n v="7"/>
    <s v="July"/>
    <s v="OK"/>
    <s v="Unique"/>
    <s v="Ready"/>
    <s v="Karan - Assault"/>
  </r>
  <r>
    <s v="CRM00049"/>
    <d v="2026-07-05T00:00:00"/>
    <x v="4"/>
    <s v="Yaqshid"/>
    <s v="Unknown"/>
    <s v="Under Investigation"/>
    <s v="Medium"/>
    <n v="2026"/>
    <n v="7"/>
    <s v="July"/>
    <s v="Needs Review"/>
    <s v="Unique"/>
    <s v="Review"/>
    <s v="Yaqshid - Theft"/>
  </r>
  <r>
    <s v="CRM00048"/>
    <d v="2026-07-12T00:00:00"/>
    <x v="2"/>
    <s v="Wadajir"/>
    <s v="Female"/>
    <s v="Under Investigation"/>
    <s v="Medium"/>
    <n v="2026"/>
    <n v="7"/>
    <s v="July"/>
    <s v="OK"/>
    <s v="Unique"/>
    <s v="Ready"/>
    <s v="Hodan - Fraud"/>
  </r>
  <r>
    <s v="CRM00047"/>
    <d v="2025-12-17T00:00:00"/>
    <x v="0"/>
    <s v="Hodan"/>
    <s v="Female"/>
    <s v="Under Investigation"/>
    <s v="High"/>
    <n v="2025"/>
    <n v="12"/>
    <s v="December"/>
    <s v="OK"/>
    <s v="Unique"/>
    <s v="Ready"/>
    <s v="Hodan - Burglary"/>
  </r>
  <r>
    <s v="CRM00046"/>
    <d v="2025-12-25T00:00:00"/>
    <x v="5"/>
    <s v="Wadajir"/>
    <s v="Unknown"/>
    <s v="Open"/>
    <s v="Medium"/>
    <n v="2025"/>
    <n v="12"/>
    <s v="December"/>
    <s v="Needs Review"/>
    <s v="Unique"/>
    <s v="Review"/>
    <s v="Wadajir - Theft"/>
  </r>
  <r>
    <s v="CRM00045"/>
    <d v="2025-09-22T00:00:00"/>
    <x v="1"/>
    <s v="Hodan"/>
    <s v="Male"/>
    <s v="Closed"/>
    <s v="High"/>
    <n v="2025"/>
    <n v="9"/>
    <s v="September"/>
    <s v="OK"/>
    <s v="Unique"/>
    <s v="Ready"/>
    <s v="Wadajir - Theft"/>
  </r>
  <r>
    <s v="CRM00044"/>
    <d v="2026-07-15T00:00:00"/>
    <x v="3"/>
    <s v="Wadajir"/>
    <s v="Male"/>
    <s v="Open"/>
    <s v="Low"/>
    <n v="2026"/>
    <n v="7"/>
    <s v="July"/>
    <s v="OK"/>
    <s v="Unique"/>
    <s v="Ready"/>
    <s v="Wadajir - Assault"/>
  </r>
  <r>
    <s v="CRM00043"/>
    <d v="2025-07-10T00:00:00"/>
    <x v="1"/>
    <s v="Hodan"/>
    <s v="Female"/>
    <s v="Closed"/>
    <s v="High"/>
    <n v="2025"/>
    <n v="7"/>
    <s v="July"/>
    <s v="OK"/>
    <s v="Unique"/>
    <s v="Ready"/>
    <s v="Yaqshid - Robbery"/>
  </r>
  <r>
    <s v="CRM00042"/>
    <d v="2026-07-12T00:00:00"/>
    <x v="5"/>
    <s v="Hodan"/>
    <s v="Female"/>
    <s v="Open"/>
    <s v="Medium"/>
    <n v="2026"/>
    <n v="7"/>
    <s v="July"/>
    <s v="OK"/>
    <s v="Unique"/>
    <s v="Ready"/>
    <s v="Hodan - Robbery"/>
  </r>
  <r>
    <s v="CRM00041"/>
    <d v="2026-01-30T00:00:00"/>
    <x v="2"/>
    <s v="Yaqshid"/>
    <s v="Female"/>
    <s v="Under Investigation"/>
    <s v="Medium"/>
    <n v="2026"/>
    <n v="1"/>
    <s v="January"/>
    <s v="OK"/>
    <s v="Unique"/>
    <s v="Ready"/>
    <s v="Wadajir - Fraud"/>
  </r>
  <r>
    <s v="CRM00040"/>
    <d v="2025-06-09T00:00:00"/>
    <x v="2"/>
    <s v="Karan"/>
    <s v="Male"/>
    <s v="Under Investigation"/>
    <s v="Medium"/>
    <n v="2025"/>
    <n v="6"/>
    <s v="June"/>
    <s v="OK"/>
    <s v="Unique"/>
    <s v="Ready"/>
    <s v="Yaqshid - Burglary"/>
  </r>
  <r>
    <s v="CRM00039"/>
    <d v="2026-07-19T00:00:00"/>
    <x v="5"/>
    <s v="Hodan"/>
    <s v="Male"/>
    <s v="Under Investigation"/>
    <s v="Medium"/>
    <n v="2026"/>
    <n v="7"/>
    <s v="July"/>
    <s v="OK"/>
    <s v="Unique"/>
    <s v="Ready"/>
    <s v="Wadajir - Assault"/>
  </r>
  <r>
    <s v="CRM00038"/>
    <d v="2026-04-12T00:00:00"/>
    <x v="2"/>
    <s v="Hodan"/>
    <s v="Male"/>
    <s v="Closed"/>
    <s v="Medium"/>
    <n v="2026"/>
    <n v="4"/>
    <s v="April"/>
    <s v="OK"/>
    <s v="Unique"/>
    <s v="Ready"/>
    <s v="Daynile - Fraud"/>
  </r>
  <r>
    <s v="CRM00037"/>
    <d v="2026-07-12T00:00:00"/>
    <x v="3"/>
    <s v="Waberi"/>
    <s v="Male"/>
    <s v="Open"/>
    <s v="Low"/>
    <n v="2026"/>
    <n v="7"/>
    <s v="July"/>
    <s v="OK"/>
    <s v="Unique"/>
    <s v="Ready"/>
    <s v="Daynile - Theft"/>
  </r>
  <r>
    <s v="CRM00036"/>
    <d v="2026-07-12T00:00:00"/>
    <x v="1"/>
    <s v="Hodan"/>
    <s v="Male"/>
    <s v="Open"/>
    <s v="High"/>
    <n v="2026"/>
    <n v="7"/>
    <s v="July"/>
    <s v="OK"/>
    <s v="Unique"/>
    <s v="Ready"/>
    <s v="Yaqshid - Theft"/>
  </r>
  <r>
    <s v="CRM00035"/>
    <d v="2025-06-09T00:00:00"/>
    <x v="3"/>
    <s v="Karan"/>
    <s v="Male"/>
    <s v="Under Investigation"/>
    <s v="Low"/>
    <n v="2025"/>
    <n v="6"/>
    <s v="June"/>
    <s v="OK"/>
    <s v="Unique"/>
    <s v="Ready"/>
    <s v="Yaqshid - Fraud"/>
  </r>
  <r>
    <s v="CRM00034"/>
    <d v="2026-04-06T00:00:00"/>
    <x v="5"/>
    <s v="Hodan"/>
    <s v="Male"/>
    <s v="Under Investigation"/>
    <s v="Medium"/>
    <n v="2026"/>
    <n v="4"/>
    <s v="April"/>
    <s v="OK"/>
    <s v="Unique"/>
    <s v="Ready"/>
    <s v="Hodan - Theft"/>
  </r>
  <r>
    <s v="CRM00033"/>
    <d v="2026-02-28T00:00:00"/>
    <x v="1"/>
    <s v="Wadajir"/>
    <s v="Female"/>
    <s v="Under Investigation"/>
    <s v="High"/>
    <n v="2026"/>
    <n v="2"/>
    <s v="February"/>
    <s v="OK"/>
    <s v="Unique"/>
    <s v="Ready"/>
    <s v="Karan - Theft"/>
  </r>
  <r>
    <s v="CRM00032"/>
    <d v="2025-08-28T00:00:00"/>
    <x v="5"/>
    <s v="Wadajir"/>
    <s v="Male"/>
    <s v="Open"/>
    <s v="Medium"/>
    <n v="2025"/>
    <n v="8"/>
    <s v="August"/>
    <s v="OK"/>
    <s v="Unique"/>
    <s v="Ready"/>
    <s v="Karan - Traffic Offense"/>
  </r>
  <r>
    <s v="CRM00031"/>
    <d v="2025-02-25T00:00:00"/>
    <x v="5"/>
    <s v="Hodan"/>
    <s v="Unknown"/>
    <s v="Open"/>
    <s v="Medium"/>
    <n v="2025"/>
    <n v="2"/>
    <s v="February"/>
    <s v="Needs Review"/>
    <s v="Unique"/>
    <s v="Review"/>
    <s v="Yaqshid - Traffic Offense"/>
  </r>
  <r>
    <s v="CRM00029"/>
    <d v="2025-08-10T00:00:00"/>
    <x v="5"/>
    <s v="Yaqshid"/>
    <s v="Male"/>
    <s v="Referred"/>
    <s v="Medium"/>
    <n v="2025"/>
    <n v="8"/>
    <s v="August"/>
    <s v="OK"/>
    <s v="Unique"/>
    <s v="Ready"/>
    <s v="Wadajir - Fraud"/>
  </r>
  <r>
    <s v="CRM00028"/>
    <d v="2025-02-14T00:00:00"/>
    <x v="5"/>
    <s v="Yaqshid"/>
    <s v="Male"/>
    <s v="Under Investigation"/>
    <s v="Medium"/>
    <n v="2025"/>
    <n v="2"/>
    <s v="February"/>
    <s v="OK"/>
    <s v="Unique"/>
    <s v="Ready"/>
    <s v="Daynile - Traffic Offense"/>
  </r>
  <r>
    <s v="CRM00027"/>
    <d v="2025-03-17T00:00:00"/>
    <x v="0"/>
    <s v="Hodan"/>
    <s v="Male"/>
    <s v="Under Investigation"/>
    <s v="High"/>
    <n v="2025"/>
    <n v="3"/>
    <s v="March"/>
    <s v="OK"/>
    <s v="Unique"/>
    <s v="Ready"/>
    <s v="Wadajir - Robbery"/>
  </r>
  <r>
    <s v="CRM00026"/>
    <d v="2025-05-05T00:00:00"/>
    <x v="2"/>
    <s v="Hodan"/>
    <s v="Male"/>
    <s v="Closed"/>
    <s v="Medium"/>
    <n v="2025"/>
    <n v="5"/>
    <s v="May"/>
    <s v="OK"/>
    <s v="Unique"/>
    <s v="Ready"/>
    <s v="Daynile - Assault"/>
  </r>
  <r>
    <s v="CRM00025"/>
    <d v="2025-04-27T00:00:00"/>
    <x v="0"/>
    <s v="Hodan"/>
    <s v="Male"/>
    <s v="Closed"/>
    <s v="High"/>
    <n v="2025"/>
    <n v="4"/>
    <s v="April"/>
    <s v="OK"/>
    <s v="Unique"/>
    <s v="Ready"/>
    <s v="Yaqshid - Assault"/>
  </r>
  <r>
    <s v="CRM00024"/>
    <d v="2026-01-30T00:00:00"/>
    <x v="1"/>
    <s v="Waberi"/>
    <s v="Female"/>
    <s v="Under Investigation"/>
    <s v="High"/>
    <n v="2026"/>
    <n v="1"/>
    <s v="January"/>
    <s v="OK"/>
    <s v="Unique"/>
    <s v="Ready"/>
    <s v="Yaqshid - Fraud"/>
  </r>
  <r>
    <s v="CRM00023"/>
    <d v="2025-02-23T00:00:00"/>
    <x v="1"/>
    <s v="Wadajir"/>
    <s v="Male"/>
    <s v="Closed"/>
    <s v="High"/>
    <n v="2025"/>
    <n v="2"/>
    <s v="February"/>
    <s v="OK"/>
    <s v="Unique"/>
    <s v="Ready"/>
    <s v="Wadajir - Assault"/>
  </r>
  <r>
    <s v="CRM00022"/>
    <d v="2026-06-13T00:00:00"/>
    <x v="3"/>
    <s v="Waberi"/>
    <s v="Male"/>
    <s v="Referred"/>
    <s v="Low"/>
    <n v="2026"/>
    <n v="6"/>
    <s v="June"/>
    <s v="OK"/>
    <s v="Unique"/>
    <s v="Ready"/>
    <s v="Yaqshid - Fraud"/>
  </r>
  <r>
    <s v="CRM00021"/>
    <d v="2025-11-10T00:00:00"/>
    <x v="3"/>
    <s v="Daynile"/>
    <s v="Male"/>
    <s v="Closed"/>
    <s v="Low"/>
    <n v="2025"/>
    <n v="11"/>
    <s v="November"/>
    <s v="OK"/>
    <s v="Unique"/>
    <s v="Ready"/>
    <s v="Yaqshid - Burglary"/>
  </r>
  <r>
    <s v="CRM00020"/>
    <d v="2026-03-03T00:00:00"/>
    <x v="0"/>
    <s v="Hodan"/>
    <s v="Male"/>
    <s v="Open"/>
    <s v="High"/>
    <n v="2026"/>
    <n v="3"/>
    <s v="March"/>
    <s v="OK"/>
    <s v="Unique"/>
    <s v="Ready"/>
    <s v="Waberi - Traffic Offense"/>
  </r>
  <r>
    <s v="CRM00019"/>
    <d v="2026-03-07T00:00:00"/>
    <x v="5"/>
    <s v="Yaqshid"/>
    <s v="Male"/>
    <s v="Referred"/>
    <s v="Medium"/>
    <n v="2026"/>
    <n v="3"/>
    <s v="March"/>
    <s v="OK"/>
    <s v="Unique"/>
    <s v="Ready"/>
    <s v="Karan - Traffic Offense"/>
  </r>
  <r>
    <s v="CRM00018"/>
    <d v="2025-06-08T00:00:00"/>
    <x v="1"/>
    <s v="Yaqshid"/>
    <s v="Male"/>
    <s v="Under Investigation"/>
    <s v="High"/>
    <n v="2025"/>
    <n v="6"/>
    <s v="June"/>
    <s v="OK"/>
    <s v="Unique"/>
    <s v="Ready"/>
    <s v="Wadajir - Theft"/>
  </r>
  <r>
    <s v="CRM00017"/>
    <d v="2025-10-02T00:00:00"/>
    <x v="2"/>
    <s v="Waberi"/>
    <s v="Male"/>
    <s v="Under Investigation"/>
    <s v="Medium"/>
    <n v="2025"/>
    <n v="10"/>
    <s v="October"/>
    <s v="OK"/>
    <s v="Unique"/>
    <s v="Ready"/>
    <s v="Wadajir - Robbery"/>
  </r>
  <r>
    <s v="CRM00016"/>
    <d v="2025-05-05T00:00:00"/>
    <x v="1"/>
    <s v="Waberi"/>
    <s v="Male"/>
    <s v="Under Investigation"/>
    <s v="High"/>
    <n v="2025"/>
    <n v="5"/>
    <s v="May"/>
    <s v="OK"/>
    <s v="Unique"/>
    <s v="Ready"/>
    <s v="Waberi - Traffic Offense"/>
  </r>
  <r>
    <s v="CRM00015"/>
    <d v="2025-07-20T00:00:00"/>
    <x v="5"/>
    <s v="Yaqshid"/>
    <s v="Male"/>
    <s v="Open"/>
    <s v="Medium"/>
    <n v="2025"/>
    <n v="7"/>
    <s v="July"/>
    <s v="OK"/>
    <s v="Unique"/>
    <s v="Ready"/>
    <s v="Yaqshid - Theft"/>
  </r>
  <r>
    <s v="CRM00014"/>
    <d v="2026-06-30T00:00:00"/>
    <x v="0"/>
    <s v="Yaqshid"/>
    <s v="Unknown"/>
    <s v="Closed"/>
    <s v="High"/>
    <n v="2026"/>
    <n v="6"/>
    <s v="June"/>
    <s v="Needs Review"/>
    <s v="Unique"/>
    <s v="Review"/>
    <s v="Wadajir - Robbery"/>
  </r>
  <r>
    <s v="CRM00013"/>
    <d v="2025-09-01T00:00:00"/>
    <x v="2"/>
    <s v="Daynile"/>
    <s v="Female"/>
    <s v="Referred"/>
    <s v="Medium"/>
    <n v="2025"/>
    <n v="9"/>
    <s v="September"/>
    <s v="OK"/>
    <s v="Unique"/>
    <s v="Ready"/>
    <s v="Hodan - Traffic Offense"/>
  </r>
  <r>
    <s v="CRM00012"/>
    <d v="2025-08-03T00:00:00"/>
    <x v="5"/>
    <s v="Daynile"/>
    <s v="Female"/>
    <s v="Open"/>
    <s v="Medium"/>
    <n v="2025"/>
    <n v="8"/>
    <s v="August"/>
    <s v="OK"/>
    <s v="Unique"/>
    <s v="Ready"/>
    <s v="Yaqshid - Fraud"/>
  </r>
  <r>
    <s v="CRM00011"/>
    <d v="2026-07-28T00:00:00"/>
    <x v="1"/>
    <s v="Waberi"/>
    <s v="Unknown"/>
    <s v="Open"/>
    <s v="High"/>
    <n v="2026"/>
    <n v="7"/>
    <s v="July"/>
    <s v="Needs Review"/>
    <s v="Unique"/>
    <s v="Review"/>
    <s v="Wadajir - Assault"/>
  </r>
  <r>
    <s v="CRM00010"/>
    <d v="2025-11-06T00:00:00"/>
    <x v="0"/>
    <s v="Hodan"/>
    <s v="Male"/>
    <s v="Under Investigation"/>
    <s v="High"/>
    <n v="2025"/>
    <n v="11"/>
    <s v="November"/>
    <s v="OK"/>
    <s v="Unique"/>
    <s v="Ready"/>
    <s v="Hodan - Burglary"/>
  </r>
  <r>
    <s v="CRM00009"/>
    <d v="2026-07-25T00:00:00"/>
    <x v="5"/>
    <s v="Hodan"/>
    <s v="Female"/>
    <s v="Open"/>
    <s v="Medium"/>
    <n v="2026"/>
    <n v="7"/>
    <s v="July"/>
    <s v="OK"/>
    <s v="Unique"/>
    <s v="Ready"/>
    <s v="Yaqshid - Robbery"/>
  </r>
  <r>
    <s v="CRM00008"/>
    <d v="2025-04-07T00:00:00"/>
    <x v="2"/>
    <s v="Hodan"/>
    <s v="Unknown"/>
    <s v="Under Investigation"/>
    <s v="Medium"/>
    <n v="2025"/>
    <n v="4"/>
    <s v="April"/>
    <s v="Needs Review"/>
    <s v="Unique"/>
    <s v="Review"/>
    <s v="Hodan - Theft"/>
  </r>
  <r>
    <s v="CRM00007"/>
    <d v="2025-07-18T00:00:00"/>
    <x v="5"/>
    <s v="Yaqshid"/>
    <s v="Female"/>
    <s v="Closed"/>
    <s v="Medium"/>
    <n v="2025"/>
    <n v="7"/>
    <s v="July"/>
    <s v="OK"/>
    <s v="Unique"/>
    <s v="Ready"/>
    <s v="Daynile - Fraud"/>
  </r>
  <r>
    <s v="CRM00006"/>
    <d v="2025-11-27T00:00:00"/>
    <x v="2"/>
    <s v="Waberi"/>
    <s v="Female"/>
    <s v="Open"/>
    <s v="Medium"/>
    <n v="2025"/>
    <n v="11"/>
    <s v="November"/>
    <s v="OK"/>
    <s v="Unique"/>
    <s v="Ready"/>
    <s v="Yaqshid - Fraud"/>
  </r>
  <r>
    <s v="CRM00005"/>
    <d v="2025-09-26T00:00:00"/>
    <x v="0"/>
    <s v="Hodan"/>
    <s v="Male"/>
    <s v="Open"/>
    <s v="High"/>
    <n v="2025"/>
    <n v="9"/>
    <s v="September"/>
    <s v="OK"/>
    <s v="Unique"/>
    <s v="Ready"/>
    <s v="Hodan - Robbery"/>
  </r>
  <r>
    <s v="CRM00004"/>
    <d v="2026-07-07T00:00:00"/>
    <x v="2"/>
    <s v="Karan"/>
    <s v="Male"/>
    <s v="Open"/>
    <s v="Medium"/>
    <n v="2026"/>
    <n v="7"/>
    <s v="July"/>
    <s v="OK"/>
    <s v="Unique"/>
    <s v="Ready"/>
    <s v="Hodan - Fraud"/>
  </r>
  <r>
    <s v="CRM00003"/>
    <d v="2025-05-20T00:00:00"/>
    <x v="4"/>
    <s v="Waberi"/>
    <s v="Male"/>
    <s v="Open"/>
    <s v="Medium"/>
    <n v="2025"/>
    <n v="5"/>
    <s v="May"/>
    <s v="OK"/>
    <s v="Unique"/>
    <s v="Ready"/>
    <s v="Hodan - Traffic Offense"/>
  </r>
  <r>
    <s v="CRM00002"/>
    <d v="2025-10-02T00:00:00"/>
    <x v="0"/>
    <s v="Wadajir"/>
    <s v="Female"/>
    <s v="Open"/>
    <s v="High"/>
    <n v="2025"/>
    <n v="10"/>
    <s v="October"/>
    <s v="OK"/>
    <s v="Unique"/>
    <s v="Ready"/>
    <s v="Wadajir - Theft"/>
  </r>
  <r>
    <s v="CRM00001"/>
    <d v="2025-07-10T00:00:00"/>
    <x v="5"/>
    <s v="Hodan"/>
    <s v="Male"/>
    <s v="Under Investigation"/>
    <s v="Medium"/>
    <n v="2025"/>
    <n v="7"/>
    <s v="July"/>
    <s v="OK"/>
    <s v="Unique"/>
    <s v="Ready"/>
    <s v="Hodan - Theft"/>
  </r>
  <r>
    <m/>
    <m/>
    <x v="3"/>
    <s v="Hodan"/>
    <s v="Female"/>
    <s v="Open"/>
    <s v="High"/>
    <s v=""/>
    <s v=""/>
    <s v=""/>
    <s v="Needs Review"/>
    <s v="Unique"/>
    <s v="Review"/>
    <s v="Hodan - Traffic Offens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s v="CRM001"/>
    <x v="0"/>
    <x v="0"/>
    <x v="0"/>
    <x v="0"/>
    <x v="0"/>
    <x v="0"/>
    <x v="0"/>
    <x v="0"/>
    <x v="0"/>
    <s v="OK"/>
    <s v="Unique"/>
    <s v="Ready"/>
    <s v="Hodan - Traffic Offense"/>
  </r>
  <r>
    <s v="CRM002"/>
    <x v="1"/>
    <x v="1"/>
    <x v="1"/>
    <x v="1"/>
    <x v="1"/>
    <x v="0"/>
    <x v="1"/>
    <x v="1"/>
    <x v="1"/>
    <s v="Needs Review"/>
    <s v="Unique"/>
    <s v="Review"/>
    <s v="Karan - Assault"/>
  </r>
  <r>
    <s v="CRM003"/>
    <x v="2"/>
    <x v="1"/>
    <x v="2"/>
    <x v="0"/>
    <x v="0"/>
    <x v="0"/>
    <x v="1"/>
    <x v="2"/>
    <x v="2"/>
    <s v="OK"/>
    <s v="Unique"/>
    <s v="Ready"/>
    <s v="Hodan - Burglary"/>
  </r>
  <r>
    <s v="CRM004"/>
    <x v="3"/>
    <x v="0"/>
    <x v="3"/>
    <x v="2"/>
    <x v="2"/>
    <x v="0"/>
    <x v="1"/>
    <x v="1"/>
    <x v="1"/>
    <s v="OK"/>
    <s v="Unique"/>
    <s v="Ready"/>
    <s v="Hodan - Fraud"/>
  </r>
  <r>
    <s v="CRM005"/>
    <x v="4"/>
    <x v="0"/>
    <x v="2"/>
    <x v="0"/>
    <x v="3"/>
    <x v="0"/>
    <x v="0"/>
    <x v="3"/>
    <x v="3"/>
    <s v="OK"/>
    <s v="Unique"/>
    <s v="Ready"/>
    <s v="Wadajir - Assault"/>
  </r>
  <r>
    <s v="CRM006"/>
    <x v="5"/>
    <x v="1"/>
    <x v="2"/>
    <x v="0"/>
    <x v="1"/>
    <x v="0"/>
    <x v="0"/>
    <x v="3"/>
    <x v="3"/>
    <s v="OK"/>
    <s v="Unique"/>
    <s v="Ready"/>
    <s v="Hodan - Assault"/>
  </r>
  <r>
    <s v="CRM007"/>
    <x v="6"/>
    <x v="2"/>
    <x v="4"/>
    <x v="0"/>
    <x v="3"/>
    <x v="1"/>
    <x v="0"/>
    <x v="4"/>
    <x v="4"/>
    <s v="OK"/>
    <s v="Unique"/>
    <s v="Ready"/>
    <s v="Yaqshid - Theft"/>
  </r>
  <r>
    <s v="CRM008"/>
    <x v="7"/>
    <x v="3"/>
    <x v="2"/>
    <x v="2"/>
    <x v="1"/>
    <x v="2"/>
    <x v="1"/>
    <x v="0"/>
    <x v="0"/>
    <s v="OK"/>
    <s v="Unique"/>
    <s v="Ready"/>
    <s v="Yaqshid - Fraud"/>
  </r>
  <r>
    <s v="CRM009"/>
    <x v="8"/>
    <x v="2"/>
    <x v="4"/>
    <x v="0"/>
    <x v="0"/>
    <x v="1"/>
    <x v="0"/>
    <x v="0"/>
    <x v="0"/>
    <s v="OK"/>
    <s v="Unique"/>
    <s v="Ready"/>
    <s v="Waberi - Robbery"/>
  </r>
  <r>
    <s v="CRM010"/>
    <x v="9"/>
    <x v="1"/>
    <x v="2"/>
    <x v="2"/>
    <x v="3"/>
    <x v="0"/>
    <x v="0"/>
    <x v="5"/>
    <x v="5"/>
    <s v="OK"/>
    <s v="Unique"/>
    <s v="Ready"/>
    <s v="Hodan - Theft"/>
  </r>
  <r>
    <s v="CRM011"/>
    <x v="10"/>
    <x v="4"/>
    <x v="0"/>
    <x v="2"/>
    <x v="3"/>
    <x v="1"/>
    <x v="1"/>
    <x v="6"/>
    <x v="6"/>
    <s v="OK"/>
    <s v="Unique"/>
    <s v="Ready"/>
    <s v="Daynile - Traffic Offense"/>
  </r>
  <r>
    <s v="CRM012"/>
    <x v="11"/>
    <x v="3"/>
    <x v="1"/>
    <x v="2"/>
    <x v="0"/>
    <x v="2"/>
    <x v="0"/>
    <x v="4"/>
    <x v="4"/>
    <s v="OK"/>
    <s v="Unique"/>
    <s v="Ready"/>
    <s v="Waberi - Robbery"/>
  </r>
  <r>
    <s v="CRM013"/>
    <x v="12"/>
    <x v="2"/>
    <x v="4"/>
    <x v="0"/>
    <x v="1"/>
    <x v="1"/>
    <x v="0"/>
    <x v="3"/>
    <x v="3"/>
    <s v="OK"/>
    <s v="Unique"/>
    <s v="Ready"/>
    <s v="Hodan - Assault"/>
  </r>
  <r>
    <s v="CRM014"/>
    <x v="13"/>
    <x v="5"/>
    <x v="5"/>
    <x v="0"/>
    <x v="0"/>
    <x v="1"/>
    <x v="1"/>
    <x v="7"/>
    <x v="7"/>
    <s v="OK"/>
    <s v="Unique"/>
    <s v="Ready"/>
    <s v="Daynile - Traffic Offense"/>
  </r>
  <r>
    <s v="CRM015"/>
    <x v="14"/>
    <x v="5"/>
    <x v="3"/>
    <x v="0"/>
    <x v="1"/>
    <x v="1"/>
    <x v="1"/>
    <x v="2"/>
    <x v="2"/>
    <s v="OK"/>
    <s v="Unique"/>
    <s v="Ready"/>
    <s v="Yaqshid - Fraud"/>
  </r>
  <r>
    <s v="CRM00292"/>
    <x v="15"/>
    <x v="1"/>
    <x v="4"/>
    <x v="0"/>
    <x v="1"/>
    <x v="0"/>
    <x v="1"/>
    <x v="8"/>
    <x v="8"/>
    <s v="OK"/>
    <s v="Unique"/>
    <s v="Ready"/>
    <s v="Hodan - Assault"/>
  </r>
  <r>
    <s v="CRM00291"/>
    <x v="16"/>
    <x v="2"/>
    <x v="0"/>
    <x v="0"/>
    <x v="3"/>
    <x v="1"/>
    <x v="0"/>
    <x v="1"/>
    <x v="1"/>
    <s v="OK"/>
    <s v="Unique"/>
    <s v="Ready"/>
    <s v="Yaqshid - Theft"/>
  </r>
  <r>
    <s v="CRM00290"/>
    <x v="17"/>
    <x v="4"/>
    <x v="1"/>
    <x v="0"/>
    <x v="1"/>
    <x v="1"/>
    <x v="1"/>
    <x v="5"/>
    <x v="5"/>
    <s v="OK"/>
    <s v="Unique"/>
    <s v="Ready"/>
    <s v="Hodan - Robbery"/>
  </r>
  <r>
    <s v="CRM00289"/>
    <x v="18"/>
    <x v="5"/>
    <x v="4"/>
    <x v="0"/>
    <x v="0"/>
    <x v="1"/>
    <x v="0"/>
    <x v="5"/>
    <x v="5"/>
    <s v="OK"/>
    <s v="Unique"/>
    <s v="Ready"/>
    <s v="Karan - Theft"/>
  </r>
  <r>
    <s v="CRM00288"/>
    <x v="19"/>
    <x v="5"/>
    <x v="5"/>
    <x v="2"/>
    <x v="1"/>
    <x v="1"/>
    <x v="1"/>
    <x v="9"/>
    <x v="9"/>
    <s v="OK"/>
    <s v="Unique"/>
    <s v="Ready"/>
    <s v="Wadajir - Burglary"/>
  </r>
  <r>
    <s v="CRM00287"/>
    <x v="20"/>
    <x v="1"/>
    <x v="2"/>
    <x v="2"/>
    <x v="3"/>
    <x v="0"/>
    <x v="1"/>
    <x v="10"/>
    <x v="10"/>
    <s v="OK"/>
    <s v="Unique"/>
    <s v="Ready"/>
    <s v="Karan - Theft"/>
  </r>
  <r>
    <s v="CRM00286"/>
    <x v="21"/>
    <x v="5"/>
    <x v="4"/>
    <x v="1"/>
    <x v="1"/>
    <x v="1"/>
    <x v="1"/>
    <x v="3"/>
    <x v="3"/>
    <s v="Needs Review"/>
    <s v="Unique"/>
    <s v="Review"/>
    <s v="Karan - Theft"/>
  </r>
  <r>
    <s v="CRM00285"/>
    <x v="22"/>
    <x v="0"/>
    <x v="2"/>
    <x v="1"/>
    <x v="1"/>
    <x v="0"/>
    <x v="1"/>
    <x v="11"/>
    <x v="11"/>
    <s v="Needs Review"/>
    <s v="Unique"/>
    <s v="Review"/>
    <s v="Yaqshid - Theft"/>
  </r>
  <r>
    <s v="CRM00284"/>
    <x v="23"/>
    <x v="1"/>
    <x v="3"/>
    <x v="1"/>
    <x v="3"/>
    <x v="0"/>
    <x v="1"/>
    <x v="7"/>
    <x v="7"/>
    <s v="Needs Review"/>
    <s v="Unique"/>
    <s v="Review"/>
    <s v="Waberi - Assault"/>
  </r>
  <r>
    <s v="CRM00283"/>
    <x v="24"/>
    <x v="3"/>
    <x v="2"/>
    <x v="0"/>
    <x v="1"/>
    <x v="2"/>
    <x v="1"/>
    <x v="7"/>
    <x v="7"/>
    <s v="OK"/>
    <s v="Unique"/>
    <s v="Ready"/>
    <s v="Yaqshid - Theft"/>
  </r>
  <r>
    <s v="CRM00282"/>
    <x v="25"/>
    <x v="0"/>
    <x v="1"/>
    <x v="0"/>
    <x v="0"/>
    <x v="0"/>
    <x v="1"/>
    <x v="1"/>
    <x v="1"/>
    <s v="OK"/>
    <s v="Unique"/>
    <s v="Ready"/>
    <s v="Daynile - Assault"/>
  </r>
  <r>
    <s v="CRM00281"/>
    <x v="26"/>
    <x v="4"/>
    <x v="3"/>
    <x v="0"/>
    <x v="3"/>
    <x v="1"/>
    <x v="1"/>
    <x v="8"/>
    <x v="8"/>
    <s v="OK"/>
    <s v="Unique"/>
    <s v="Ready"/>
    <s v="Waberi - Assault"/>
  </r>
  <r>
    <s v="CRM00280"/>
    <x v="27"/>
    <x v="2"/>
    <x v="4"/>
    <x v="2"/>
    <x v="1"/>
    <x v="1"/>
    <x v="1"/>
    <x v="0"/>
    <x v="0"/>
    <s v="OK"/>
    <s v="Unique"/>
    <s v="Ready"/>
    <s v="Daynile - Theft"/>
  </r>
  <r>
    <s v="CRM00279"/>
    <x v="28"/>
    <x v="4"/>
    <x v="5"/>
    <x v="0"/>
    <x v="3"/>
    <x v="1"/>
    <x v="1"/>
    <x v="2"/>
    <x v="2"/>
    <s v="OK"/>
    <s v="Unique"/>
    <s v="Ready"/>
    <s v="Hodan - Theft"/>
  </r>
  <r>
    <s v="CRM00278"/>
    <x v="0"/>
    <x v="1"/>
    <x v="2"/>
    <x v="0"/>
    <x v="1"/>
    <x v="0"/>
    <x v="0"/>
    <x v="0"/>
    <x v="0"/>
    <s v="OK"/>
    <s v="Unique"/>
    <s v="Ready"/>
    <s v="Hodan - Assault"/>
  </r>
  <r>
    <s v="CRM00277"/>
    <x v="0"/>
    <x v="2"/>
    <x v="3"/>
    <x v="0"/>
    <x v="1"/>
    <x v="1"/>
    <x v="0"/>
    <x v="0"/>
    <x v="0"/>
    <s v="OK"/>
    <s v="Unique"/>
    <s v="Ready"/>
    <s v="Waberi - Robbery"/>
  </r>
  <r>
    <s v="CRM00276"/>
    <x v="29"/>
    <x v="2"/>
    <x v="1"/>
    <x v="0"/>
    <x v="3"/>
    <x v="1"/>
    <x v="0"/>
    <x v="3"/>
    <x v="3"/>
    <s v="OK"/>
    <s v="Unique"/>
    <s v="Ready"/>
    <s v="Karan - Robbery"/>
  </r>
  <r>
    <s v="CRM00275"/>
    <x v="30"/>
    <x v="2"/>
    <x v="2"/>
    <x v="0"/>
    <x v="1"/>
    <x v="1"/>
    <x v="0"/>
    <x v="4"/>
    <x v="4"/>
    <s v="OK"/>
    <s v="Unique"/>
    <s v="Ready"/>
    <s v="Daynile - Theft"/>
  </r>
  <r>
    <s v="CRM00274"/>
    <x v="31"/>
    <x v="2"/>
    <x v="1"/>
    <x v="0"/>
    <x v="1"/>
    <x v="1"/>
    <x v="1"/>
    <x v="11"/>
    <x v="11"/>
    <s v="OK"/>
    <s v="Unique"/>
    <s v="Ready"/>
    <s v="Wadajir - Assault"/>
  </r>
  <r>
    <s v="CRM00273"/>
    <x v="26"/>
    <x v="2"/>
    <x v="5"/>
    <x v="0"/>
    <x v="0"/>
    <x v="1"/>
    <x v="1"/>
    <x v="8"/>
    <x v="8"/>
    <s v="OK"/>
    <s v="Unique"/>
    <s v="Ready"/>
    <s v="Karan - Assault"/>
  </r>
  <r>
    <s v="CRM00272"/>
    <x v="32"/>
    <x v="0"/>
    <x v="1"/>
    <x v="1"/>
    <x v="1"/>
    <x v="2"/>
    <x v="0"/>
    <x v="6"/>
    <x v="6"/>
    <s v="Needs Review"/>
    <s v="Unique"/>
    <s v="Review"/>
    <s v="Karan - Theft"/>
  </r>
  <r>
    <s v="CRM00271"/>
    <x v="0"/>
    <x v="0"/>
    <x v="5"/>
    <x v="0"/>
    <x v="1"/>
    <x v="0"/>
    <x v="0"/>
    <x v="0"/>
    <x v="0"/>
    <s v="OK"/>
    <s v="Unique"/>
    <s v="Ready"/>
    <s v="Hodan - Assault"/>
  </r>
  <r>
    <s v="CRM00270"/>
    <x v="33"/>
    <x v="2"/>
    <x v="4"/>
    <x v="2"/>
    <x v="1"/>
    <x v="1"/>
    <x v="0"/>
    <x v="5"/>
    <x v="5"/>
    <s v="OK"/>
    <s v="Unique"/>
    <s v="Ready"/>
    <s v="Hodan - Assault"/>
  </r>
  <r>
    <s v="CRM00269"/>
    <x v="34"/>
    <x v="1"/>
    <x v="4"/>
    <x v="0"/>
    <x v="1"/>
    <x v="0"/>
    <x v="1"/>
    <x v="7"/>
    <x v="7"/>
    <s v="OK"/>
    <s v="Unique"/>
    <s v="Ready"/>
    <s v="Waberi - Theft"/>
  </r>
  <r>
    <s v="CRM00268"/>
    <x v="35"/>
    <x v="0"/>
    <x v="5"/>
    <x v="0"/>
    <x v="2"/>
    <x v="0"/>
    <x v="0"/>
    <x v="3"/>
    <x v="3"/>
    <s v="OK"/>
    <s v="Unique"/>
    <s v="Ready"/>
    <s v="Hodan - Theft"/>
  </r>
  <r>
    <s v="CRM00267"/>
    <x v="0"/>
    <x v="0"/>
    <x v="1"/>
    <x v="1"/>
    <x v="3"/>
    <x v="0"/>
    <x v="0"/>
    <x v="0"/>
    <x v="0"/>
    <s v="Needs Review"/>
    <s v="Unique"/>
    <s v="Review"/>
    <s v="Wadajir - Theft"/>
  </r>
  <r>
    <s v="CRM00266"/>
    <x v="36"/>
    <x v="5"/>
    <x v="1"/>
    <x v="0"/>
    <x v="1"/>
    <x v="1"/>
    <x v="1"/>
    <x v="4"/>
    <x v="4"/>
    <s v="OK"/>
    <s v="Unique"/>
    <s v="Ready"/>
    <s v="Hodan - Assault"/>
  </r>
  <r>
    <s v="CRM00265"/>
    <x v="37"/>
    <x v="5"/>
    <x v="4"/>
    <x v="0"/>
    <x v="3"/>
    <x v="1"/>
    <x v="1"/>
    <x v="5"/>
    <x v="5"/>
    <s v="OK"/>
    <s v="Unique"/>
    <s v="Ready"/>
    <s v="Daynile - Robbery"/>
  </r>
  <r>
    <s v="CRM00264"/>
    <x v="38"/>
    <x v="4"/>
    <x v="1"/>
    <x v="0"/>
    <x v="1"/>
    <x v="1"/>
    <x v="1"/>
    <x v="6"/>
    <x v="6"/>
    <s v="OK"/>
    <s v="Unique"/>
    <s v="Ready"/>
    <s v="Karan - Burglary"/>
  </r>
  <r>
    <s v="CRM00263"/>
    <x v="39"/>
    <x v="4"/>
    <x v="1"/>
    <x v="2"/>
    <x v="0"/>
    <x v="1"/>
    <x v="1"/>
    <x v="3"/>
    <x v="3"/>
    <s v="OK"/>
    <s v="Unique"/>
    <s v="Ready"/>
    <s v="Karan - Traffic Offense"/>
  </r>
  <r>
    <s v="CRM00262"/>
    <x v="40"/>
    <x v="0"/>
    <x v="4"/>
    <x v="2"/>
    <x v="1"/>
    <x v="1"/>
    <x v="0"/>
    <x v="3"/>
    <x v="3"/>
    <s v="OK"/>
    <s v="Unique"/>
    <s v="Ready"/>
    <s v="Hodan - Burglary"/>
  </r>
  <r>
    <s v="CRM00261"/>
    <x v="41"/>
    <x v="2"/>
    <x v="3"/>
    <x v="0"/>
    <x v="2"/>
    <x v="1"/>
    <x v="1"/>
    <x v="5"/>
    <x v="5"/>
    <s v="OK"/>
    <s v="Unique"/>
    <s v="Ready"/>
    <s v="Hodan - Fraud"/>
  </r>
  <r>
    <s v="CRM00260"/>
    <x v="42"/>
    <x v="2"/>
    <x v="0"/>
    <x v="0"/>
    <x v="0"/>
    <x v="1"/>
    <x v="1"/>
    <x v="11"/>
    <x v="11"/>
    <s v="OK"/>
    <s v="Unique"/>
    <s v="Ready"/>
    <s v="Karan - Robbery"/>
  </r>
  <r>
    <s v="CRM00259"/>
    <x v="43"/>
    <x v="1"/>
    <x v="5"/>
    <x v="0"/>
    <x v="3"/>
    <x v="0"/>
    <x v="0"/>
    <x v="1"/>
    <x v="1"/>
    <s v="OK"/>
    <s v="Unique"/>
    <s v="Ready"/>
    <s v="Daynile - Theft"/>
  </r>
  <r>
    <s v="CRM00258"/>
    <x v="0"/>
    <x v="0"/>
    <x v="4"/>
    <x v="0"/>
    <x v="1"/>
    <x v="0"/>
    <x v="0"/>
    <x v="0"/>
    <x v="0"/>
    <s v="OK"/>
    <s v="Unique"/>
    <s v="Ready"/>
    <s v="Hodan - Assault"/>
  </r>
  <r>
    <s v="CRM00257"/>
    <x v="44"/>
    <x v="2"/>
    <x v="4"/>
    <x v="0"/>
    <x v="3"/>
    <x v="1"/>
    <x v="0"/>
    <x v="4"/>
    <x v="4"/>
    <s v="OK"/>
    <s v="Unique"/>
    <s v="Ready"/>
    <s v="Karan - Theft"/>
  </r>
  <r>
    <s v="CRM00256"/>
    <x v="0"/>
    <x v="2"/>
    <x v="0"/>
    <x v="0"/>
    <x v="0"/>
    <x v="1"/>
    <x v="0"/>
    <x v="0"/>
    <x v="0"/>
    <s v="OK"/>
    <s v="Unique"/>
    <s v="Ready"/>
    <s v="Daynile - Fraud"/>
  </r>
  <r>
    <s v="CRM00255"/>
    <x v="45"/>
    <x v="5"/>
    <x v="4"/>
    <x v="0"/>
    <x v="0"/>
    <x v="1"/>
    <x v="0"/>
    <x v="5"/>
    <x v="5"/>
    <s v="OK"/>
    <s v="Unique"/>
    <s v="Ready"/>
    <s v="Yaqshid - Traffic Offense"/>
  </r>
  <r>
    <s v="CRM00254"/>
    <x v="0"/>
    <x v="2"/>
    <x v="5"/>
    <x v="0"/>
    <x v="0"/>
    <x v="0"/>
    <x v="0"/>
    <x v="0"/>
    <x v="0"/>
    <s v="OK"/>
    <s v="Unique"/>
    <s v="Ready"/>
    <s v="Wadajir - Robbery"/>
  </r>
  <r>
    <s v="CRM00253"/>
    <x v="46"/>
    <x v="5"/>
    <x v="1"/>
    <x v="2"/>
    <x v="1"/>
    <x v="1"/>
    <x v="0"/>
    <x v="3"/>
    <x v="3"/>
    <s v="OK"/>
    <s v="Unique"/>
    <s v="Ready"/>
    <s v="Wadajir - Robbery"/>
  </r>
  <r>
    <s v="CRM00252"/>
    <x v="47"/>
    <x v="0"/>
    <x v="1"/>
    <x v="1"/>
    <x v="1"/>
    <x v="0"/>
    <x v="0"/>
    <x v="6"/>
    <x v="6"/>
    <s v="Needs Review"/>
    <s v="Unique"/>
    <s v="Review"/>
    <s v="Karan - Burglary"/>
  </r>
  <r>
    <s v="CRM00251"/>
    <x v="48"/>
    <x v="1"/>
    <x v="1"/>
    <x v="2"/>
    <x v="1"/>
    <x v="0"/>
    <x v="0"/>
    <x v="5"/>
    <x v="5"/>
    <s v="OK"/>
    <s v="Unique"/>
    <s v="Ready"/>
    <s v="Daynile - Robbery"/>
  </r>
  <r>
    <s v="CRM00250"/>
    <x v="49"/>
    <x v="3"/>
    <x v="1"/>
    <x v="2"/>
    <x v="1"/>
    <x v="2"/>
    <x v="1"/>
    <x v="3"/>
    <x v="3"/>
    <s v="OK"/>
    <s v="Unique"/>
    <s v="Ready"/>
    <s v="Daynile - Assault"/>
  </r>
  <r>
    <s v="CRM00249"/>
    <x v="12"/>
    <x v="0"/>
    <x v="2"/>
    <x v="0"/>
    <x v="3"/>
    <x v="0"/>
    <x v="0"/>
    <x v="3"/>
    <x v="3"/>
    <s v="OK"/>
    <s v="Unique"/>
    <s v="Ready"/>
    <s v="Hodan - Theft"/>
  </r>
  <r>
    <s v="CRM00248"/>
    <x v="50"/>
    <x v="4"/>
    <x v="4"/>
    <x v="2"/>
    <x v="3"/>
    <x v="1"/>
    <x v="1"/>
    <x v="0"/>
    <x v="0"/>
    <s v="OK"/>
    <s v="Unique"/>
    <s v="Ready"/>
    <s v="Waberi - Traffic Offense"/>
  </r>
  <r>
    <s v="CRM00247"/>
    <x v="51"/>
    <x v="1"/>
    <x v="3"/>
    <x v="0"/>
    <x v="1"/>
    <x v="0"/>
    <x v="1"/>
    <x v="6"/>
    <x v="6"/>
    <s v="OK"/>
    <s v="Unique"/>
    <s v="Ready"/>
    <s v="Wadajir - Burglary"/>
  </r>
  <r>
    <s v="CRM00246"/>
    <x v="52"/>
    <x v="2"/>
    <x v="4"/>
    <x v="0"/>
    <x v="1"/>
    <x v="1"/>
    <x v="1"/>
    <x v="6"/>
    <x v="6"/>
    <s v="OK"/>
    <s v="Unique"/>
    <s v="Ready"/>
    <s v="Hodan - Fraud"/>
  </r>
  <r>
    <s v="CRM00245"/>
    <x v="43"/>
    <x v="2"/>
    <x v="2"/>
    <x v="0"/>
    <x v="0"/>
    <x v="1"/>
    <x v="0"/>
    <x v="1"/>
    <x v="1"/>
    <s v="OK"/>
    <s v="Unique"/>
    <s v="Ready"/>
    <s v="Karan - Fraud"/>
  </r>
  <r>
    <s v="CRM00244"/>
    <x v="53"/>
    <x v="0"/>
    <x v="1"/>
    <x v="2"/>
    <x v="3"/>
    <x v="0"/>
    <x v="0"/>
    <x v="5"/>
    <x v="5"/>
    <s v="OK"/>
    <s v="Unique"/>
    <s v="Ready"/>
    <s v="Daynile - Assault"/>
  </r>
  <r>
    <s v="CRM00243"/>
    <x v="54"/>
    <x v="3"/>
    <x v="1"/>
    <x v="2"/>
    <x v="3"/>
    <x v="0"/>
    <x v="1"/>
    <x v="10"/>
    <x v="10"/>
    <s v="OK"/>
    <s v="Unique"/>
    <s v="Ready"/>
    <s v="Wadajir - Theft"/>
  </r>
  <r>
    <s v="CRM00242"/>
    <x v="55"/>
    <x v="1"/>
    <x v="5"/>
    <x v="2"/>
    <x v="1"/>
    <x v="0"/>
    <x v="0"/>
    <x v="4"/>
    <x v="4"/>
    <s v="OK"/>
    <s v="Unique"/>
    <s v="Ready"/>
    <s v="Daynile - Fraud"/>
  </r>
  <r>
    <s v="CRM00241"/>
    <x v="56"/>
    <x v="2"/>
    <x v="4"/>
    <x v="2"/>
    <x v="1"/>
    <x v="1"/>
    <x v="0"/>
    <x v="10"/>
    <x v="10"/>
    <s v="OK"/>
    <s v="Unique"/>
    <s v="Ready"/>
    <s v="Hodan - Assault"/>
  </r>
  <r>
    <s v="CRM00240"/>
    <x v="57"/>
    <x v="3"/>
    <x v="0"/>
    <x v="0"/>
    <x v="0"/>
    <x v="2"/>
    <x v="1"/>
    <x v="6"/>
    <x v="6"/>
    <s v="OK"/>
    <s v="Unique"/>
    <s v="Ready"/>
    <s v="Hodan - Assault"/>
  </r>
  <r>
    <s v="CRM00239"/>
    <x v="58"/>
    <x v="0"/>
    <x v="4"/>
    <x v="0"/>
    <x v="1"/>
    <x v="0"/>
    <x v="1"/>
    <x v="7"/>
    <x v="7"/>
    <s v="OK"/>
    <s v="Unique"/>
    <s v="Ready"/>
    <s v="Karan - Burglary"/>
  </r>
  <r>
    <s v="CRM00238"/>
    <x v="59"/>
    <x v="0"/>
    <x v="3"/>
    <x v="0"/>
    <x v="1"/>
    <x v="0"/>
    <x v="1"/>
    <x v="10"/>
    <x v="10"/>
    <s v="OK"/>
    <s v="Unique"/>
    <s v="Ready"/>
    <s v="Hodan - Assault"/>
  </r>
  <r>
    <s v="CRM00237"/>
    <x v="60"/>
    <x v="0"/>
    <x v="1"/>
    <x v="0"/>
    <x v="1"/>
    <x v="0"/>
    <x v="0"/>
    <x v="5"/>
    <x v="5"/>
    <s v="OK"/>
    <s v="Unique"/>
    <s v="Ready"/>
    <s v="Hodan - Assault"/>
  </r>
  <r>
    <s v="CRM00236"/>
    <x v="61"/>
    <x v="5"/>
    <x v="1"/>
    <x v="0"/>
    <x v="1"/>
    <x v="1"/>
    <x v="1"/>
    <x v="10"/>
    <x v="10"/>
    <s v="OK"/>
    <s v="Unique"/>
    <s v="Ready"/>
    <s v="Daynile - Fraud"/>
  </r>
  <r>
    <s v="CRM00235"/>
    <x v="62"/>
    <x v="2"/>
    <x v="1"/>
    <x v="0"/>
    <x v="2"/>
    <x v="1"/>
    <x v="1"/>
    <x v="5"/>
    <x v="5"/>
    <s v="OK"/>
    <s v="Unique"/>
    <s v="Ready"/>
    <s v="Wadajir - Fraud"/>
  </r>
  <r>
    <s v="CRM00234"/>
    <x v="0"/>
    <x v="3"/>
    <x v="2"/>
    <x v="1"/>
    <x v="1"/>
    <x v="2"/>
    <x v="0"/>
    <x v="0"/>
    <x v="0"/>
    <s v="Needs Review"/>
    <s v="Unique"/>
    <s v="Review"/>
    <s v="Daynile - Robbery"/>
  </r>
  <r>
    <s v="CRM00233"/>
    <x v="63"/>
    <x v="0"/>
    <x v="2"/>
    <x v="0"/>
    <x v="1"/>
    <x v="0"/>
    <x v="1"/>
    <x v="11"/>
    <x v="11"/>
    <s v="OK"/>
    <s v="Unique"/>
    <s v="Ready"/>
    <s v="Daynile - Robbery"/>
  </r>
  <r>
    <s v="CRM00232"/>
    <x v="64"/>
    <x v="5"/>
    <x v="4"/>
    <x v="0"/>
    <x v="1"/>
    <x v="1"/>
    <x v="0"/>
    <x v="5"/>
    <x v="5"/>
    <s v="OK"/>
    <s v="Unique"/>
    <s v="Ready"/>
    <s v="Daynile - Theft"/>
  </r>
  <r>
    <s v="CRM00231"/>
    <x v="65"/>
    <x v="2"/>
    <x v="0"/>
    <x v="1"/>
    <x v="3"/>
    <x v="1"/>
    <x v="1"/>
    <x v="1"/>
    <x v="1"/>
    <s v="Needs Review"/>
    <s v="Unique"/>
    <s v="Review"/>
    <s v="Waberi - Traffic Offense"/>
  </r>
  <r>
    <s v="CRM00230"/>
    <x v="22"/>
    <x v="0"/>
    <x v="0"/>
    <x v="2"/>
    <x v="3"/>
    <x v="0"/>
    <x v="1"/>
    <x v="11"/>
    <x v="11"/>
    <s v="OK"/>
    <s v="Unique"/>
    <s v="Ready"/>
    <s v="Waberi - Robbery"/>
  </r>
  <r>
    <s v="CRM00229"/>
    <x v="66"/>
    <x v="5"/>
    <x v="4"/>
    <x v="2"/>
    <x v="0"/>
    <x v="1"/>
    <x v="0"/>
    <x v="4"/>
    <x v="4"/>
    <s v="OK"/>
    <s v="Unique"/>
    <s v="Ready"/>
    <s v="Daynile - Fraud"/>
  </r>
  <r>
    <s v="CRM00228"/>
    <x v="67"/>
    <x v="5"/>
    <x v="0"/>
    <x v="1"/>
    <x v="3"/>
    <x v="1"/>
    <x v="0"/>
    <x v="10"/>
    <x v="10"/>
    <s v="Needs Review"/>
    <s v="Unique"/>
    <s v="Review"/>
    <s v="Hodan - Theft"/>
  </r>
  <r>
    <s v="CRM00227"/>
    <x v="68"/>
    <x v="3"/>
    <x v="4"/>
    <x v="0"/>
    <x v="1"/>
    <x v="2"/>
    <x v="1"/>
    <x v="9"/>
    <x v="9"/>
    <s v="OK"/>
    <s v="Unique"/>
    <s v="Ready"/>
    <s v="Wadajir - Fraud"/>
  </r>
  <r>
    <s v="CRM00226"/>
    <x v="20"/>
    <x v="0"/>
    <x v="2"/>
    <x v="0"/>
    <x v="1"/>
    <x v="0"/>
    <x v="1"/>
    <x v="10"/>
    <x v="10"/>
    <s v="OK"/>
    <s v="Unique"/>
    <s v="Ready"/>
    <s v="Wadajir - Theft"/>
  </r>
  <r>
    <s v="CRM00225"/>
    <x v="69"/>
    <x v="5"/>
    <x v="4"/>
    <x v="2"/>
    <x v="3"/>
    <x v="1"/>
    <x v="0"/>
    <x v="0"/>
    <x v="0"/>
    <s v="OK"/>
    <s v="Unique"/>
    <s v="Ready"/>
    <s v="Hodan - Assault"/>
  </r>
  <r>
    <s v="CRM00224"/>
    <x v="70"/>
    <x v="2"/>
    <x v="4"/>
    <x v="2"/>
    <x v="0"/>
    <x v="1"/>
    <x v="0"/>
    <x v="4"/>
    <x v="4"/>
    <s v="OK"/>
    <s v="Unique"/>
    <s v="Ready"/>
    <s v="Daynile - Fraud"/>
  </r>
  <r>
    <s v="CRM00223"/>
    <x v="0"/>
    <x v="2"/>
    <x v="1"/>
    <x v="0"/>
    <x v="1"/>
    <x v="1"/>
    <x v="0"/>
    <x v="0"/>
    <x v="0"/>
    <s v="OK"/>
    <s v="Unique"/>
    <s v="Ready"/>
    <s v="Wadajir - Fraud"/>
  </r>
  <r>
    <s v="CRM00222"/>
    <x v="71"/>
    <x v="2"/>
    <x v="2"/>
    <x v="0"/>
    <x v="1"/>
    <x v="1"/>
    <x v="1"/>
    <x v="3"/>
    <x v="3"/>
    <s v="OK"/>
    <s v="Unique"/>
    <s v="Ready"/>
    <s v="Wadajir - Theft"/>
  </r>
  <r>
    <s v="CRM00221"/>
    <x v="72"/>
    <x v="5"/>
    <x v="3"/>
    <x v="1"/>
    <x v="3"/>
    <x v="1"/>
    <x v="1"/>
    <x v="2"/>
    <x v="2"/>
    <s v="Needs Review"/>
    <s v="Unique"/>
    <s v="Review"/>
    <s v="Karan - Theft"/>
  </r>
  <r>
    <s v="CRM00220"/>
    <x v="73"/>
    <x v="0"/>
    <x v="1"/>
    <x v="0"/>
    <x v="0"/>
    <x v="0"/>
    <x v="0"/>
    <x v="5"/>
    <x v="5"/>
    <s v="OK"/>
    <s v="Unique"/>
    <s v="Ready"/>
    <s v="Yaqshid - Robbery"/>
  </r>
  <r>
    <s v="CRM00219"/>
    <x v="74"/>
    <x v="5"/>
    <x v="3"/>
    <x v="2"/>
    <x v="1"/>
    <x v="1"/>
    <x v="0"/>
    <x v="5"/>
    <x v="5"/>
    <s v="OK"/>
    <s v="Unique"/>
    <s v="Ready"/>
    <s v="Hodan - Assault"/>
  </r>
  <r>
    <s v="CRM00218"/>
    <x v="75"/>
    <x v="2"/>
    <x v="1"/>
    <x v="0"/>
    <x v="1"/>
    <x v="1"/>
    <x v="1"/>
    <x v="8"/>
    <x v="8"/>
    <s v="OK"/>
    <s v="Unique"/>
    <s v="Ready"/>
    <s v="Yaqshid - Fraud"/>
  </r>
  <r>
    <s v="CRM00217"/>
    <x v="76"/>
    <x v="0"/>
    <x v="1"/>
    <x v="0"/>
    <x v="1"/>
    <x v="0"/>
    <x v="1"/>
    <x v="5"/>
    <x v="5"/>
    <s v="OK"/>
    <s v="Unique"/>
    <s v="Ready"/>
    <s v="Yaqshid - Fraud"/>
  </r>
  <r>
    <s v="CRM00216"/>
    <x v="66"/>
    <x v="0"/>
    <x v="5"/>
    <x v="0"/>
    <x v="1"/>
    <x v="0"/>
    <x v="0"/>
    <x v="4"/>
    <x v="4"/>
    <s v="OK"/>
    <s v="Unique"/>
    <s v="Ready"/>
    <s v="Yaqshid - Robbery"/>
  </r>
  <r>
    <s v="CRM00215"/>
    <x v="77"/>
    <x v="5"/>
    <x v="2"/>
    <x v="2"/>
    <x v="3"/>
    <x v="1"/>
    <x v="1"/>
    <x v="0"/>
    <x v="0"/>
    <s v="OK"/>
    <s v="Unique"/>
    <s v="Ready"/>
    <s v="Hodan - Theft"/>
  </r>
  <r>
    <s v="CRM00214"/>
    <x v="78"/>
    <x v="0"/>
    <x v="2"/>
    <x v="0"/>
    <x v="0"/>
    <x v="0"/>
    <x v="1"/>
    <x v="0"/>
    <x v="0"/>
    <s v="OK"/>
    <s v="Unique"/>
    <s v="Ready"/>
    <s v="Waberi - Theft"/>
  </r>
  <r>
    <s v="CRM00213"/>
    <x v="0"/>
    <x v="0"/>
    <x v="4"/>
    <x v="0"/>
    <x v="0"/>
    <x v="0"/>
    <x v="0"/>
    <x v="0"/>
    <x v="0"/>
    <s v="OK"/>
    <s v="Unique"/>
    <s v="Ready"/>
    <s v="Wadajir - Fraud"/>
  </r>
  <r>
    <s v="CRM00212"/>
    <x v="79"/>
    <x v="5"/>
    <x v="1"/>
    <x v="0"/>
    <x v="1"/>
    <x v="1"/>
    <x v="1"/>
    <x v="8"/>
    <x v="8"/>
    <s v="OK"/>
    <s v="Unique"/>
    <s v="Ready"/>
    <s v="Wadajir - Robbery"/>
  </r>
  <r>
    <s v="CRM00211"/>
    <x v="80"/>
    <x v="2"/>
    <x v="4"/>
    <x v="0"/>
    <x v="1"/>
    <x v="1"/>
    <x v="1"/>
    <x v="9"/>
    <x v="9"/>
    <s v="OK"/>
    <s v="Unique"/>
    <s v="Ready"/>
    <s v="Wadajir - Fraud"/>
  </r>
  <r>
    <s v="CRM00210"/>
    <x v="81"/>
    <x v="5"/>
    <x v="2"/>
    <x v="2"/>
    <x v="1"/>
    <x v="0"/>
    <x v="1"/>
    <x v="6"/>
    <x v="6"/>
    <s v="OK"/>
    <s v="Unique"/>
    <s v="Ready"/>
    <s v="Wadajir - Robbery"/>
  </r>
  <r>
    <s v="CRM00209"/>
    <x v="82"/>
    <x v="2"/>
    <x v="1"/>
    <x v="2"/>
    <x v="3"/>
    <x v="0"/>
    <x v="1"/>
    <x v="1"/>
    <x v="1"/>
    <s v="OK"/>
    <s v="Unique"/>
    <s v="Ready"/>
    <s v="Wadajir - Robbery"/>
  </r>
  <r>
    <s v="CRM00208"/>
    <x v="83"/>
    <x v="1"/>
    <x v="5"/>
    <x v="1"/>
    <x v="3"/>
    <x v="0"/>
    <x v="1"/>
    <x v="8"/>
    <x v="8"/>
    <s v="Needs Review"/>
    <s v="Unique"/>
    <s v="Review"/>
    <s v="Wadajir - Burglary"/>
  </r>
  <r>
    <s v="CRM00207"/>
    <x v="84"/>
    <x v="5"/>
    <x v="2"/>
    <x v="0"/>
    <x v="1"/>
    <x v="1"/>
    <x v="0"/>
    <x v="10"/>
    <x v="10"/>
    <s v="OK"/>
    <s v="Unique"/>
    <s v="Ready"/>
    <s v="Daynile - Assault"/>
  </r>
  <r>
    <s v="CRM00206"/>
    <x v="85"/>
    <x v="0"/>
    <x v="2"/>
    <x v="2"/>
    <x v="1"/>
    <x v="0"/>
    <x v="0"/>
    <x v="6"/>
    <x v="6"/>
    <s v="OK"/>
    <s v="Unique"/>
    <s v="Ready"/>
    <s v="Hodan - Robbery"/>
  </r>
  <r>
    <s v="CRM00205"/>
    <x v="86"/>
    <x v="0"/>
    <x v="5"/>
    <x v="2"/>
    <x v="0"/>
    <x v="0"/>
    <x v="1"/>
    <x v="11"/>
    <x v="11"/>
    <s v="OK"/>
    <s v="Unique"/>
    <s v="Ready"/>
    <s v="Waberi - Fraud"/>
  </r>
  <r>
    <s v="CRM00204"/>
    <x v="87"/>
    <x v="2"/>
    <x v="0"/>
    <x v="1"/>
    <x v="3"/>
    <x v="1"/>
    <x v="0"/>
    <x v="1"/>
    <x v="1"/>
    <s v="Needs Review"/>
    <s v="Unique"/>
    <s v="Review"/>
    <s v="Daynile - Fraud"/>
  </r>
  <r>
    <s v="CRM00203"/>
    <x v="88"/>
    <x v="1"/>
    <x v="5"/>
    <x v="1"/>
    <x v="1"/>
    <x v="0"/>
    <x v="0"/>
    <x v="6"/>
    <x v="6"/>
    <s v="Needs Review"/>
    <s v="Unique"/>
    <s v="Review"/>
    <s v="Yaqshid - Fraud"/>
  </r>
  <r>
    <s v="CRM00202"/>
    <x v="17"/>
    <x v="2"/>
    <x v="1"/>
    <x v="0"/>
    <x v="3"/>
    <x v="0"/>
    <x v="1"/>
    <x v="5"/>
    <x v="5"/>
    <s v="OK"/>
    <s v="Unique"/>
    <s v="Ready"/>
    <s v="Yaqshid - Fraud"/>
  </r>
  <r>
    <s v="CRM00201"/>
    <x v="89"/>
    <x v="4"/>
    <x v="4"/>
    <x v="0"/>
    <x v="1"/>
    <x v="1"/>
    <x v="1"/>
    <x v="5"/>
    <x v="5"/>
    <s v="OK"/>
    <s v="Unique"/>
    <s v="Ready"/>
    <s v="Yaqshid - Fraud"/>
  </r>
  <r>
    <s v="CRM00200"/>
    <x v="90"/>
    <x v="3"/>
    <x v="1"/>
    <x v="1"/>
    <x v="1"/>
    <x v="2"/>
    <x v="1"/>
    <x v="1"/>
    <x v="1"/>
    <s v="Needs Review"/>
    <s v="Unique"/>
    <s v="Review"/>
    <s v="Daynile - Theft"/>
  </r>
  <r>
    <s v="CRM00199"/>
    <x v="91"/>
    <x v="5"/>
    <x v="2"/>
    <x v="0"/>
    <x v="1"/>
    <x v="1"/>
    <x v="0"/>
    <x v="4"/>
    <x v="4"/>
    <s v="OK"/>
    <s v="Unique"/>
    <s v="Ready"/>
    <s v="Karan - Robbery"/>
  </r>
  <r>
    <s v="CRM00198"/>
    <x v="37"/>
    <x v="0"/>
    <x v="4"/>
    <x v="0"/>
    <x v="0"/>
    <x v="0"/>
    <x v="1"/>
    <x v="5"/>
    <x v="5"/>
    <s v="OK"/>
    <s v="Unique"/>
    <s v="Ready"/>
    <s v="Yaqshid - Assault"/>
  </r>
  <r>
    <s v="CRM00197"/>
    <x v="92"/>
    <x v="4"/>
    <x v="5"/>
    <x v="0"/>
    <x v="1"/>
    <x v="1"/>
    <x v="0"/>
    <x v="5"/>
    <x v="5"/>
    <s v="OK"/>
    <s v="Unique"/>
    <s v="Ready"/>
    <s v="Karan - Fraud"/>
  </r>
  <r>
    <s v="CRM00196"/>
    <x v="93"/>
    <x v="0"/>
    <x v="1"/>
    <x v="0"/>
    <x v="3"/>
    <x v="0"/>
    <x v="1"/>
    <x v="10"/>
    <x v="10"/>
    <s v="OK"/>
    <s v="Unique"/>
    <s v="Ready"/>
    <s v="Wadajir - Theft"/>
  </r>
  <r>
    <s v="CRM00195"/>
    <x v="94"/>
    <x v="2"/>
    <x v="4"/>
    <x v="0"/>
    <x v="3"/>
    <x v="1"/>
    <x v="0"/>
    <x v="1"/>
    <x v="1"/>
    <s v="OK"/>
    <s v="Unique"/>
    <s v="Ready"/>
    <s v="Hodan - Robbery"/>
  </r>
  <r>
    <s v="CRM00194"/>
    <x v="95"/>
    <x v="2"/>
    <x v="5"/>
    <x v="2"/>
    <x v="3"/>
    <x v="0"/>
    <x v="1"/>
    <x v="6"/>
    <x v="6"/>
    <s v="OK"/>
    <s v="Unique"/>
    <s v="Ready"/>
    <s v="Waberi - Theft"/>
  </r>
  <r>
    <s v="CRM00193"/>
    <x v="0"/>
    <x v="0"/>
    <x v="1"/>
    <x v="0"/>
    <x v="1"/>
    <x v="0"/>
    <x v="0"/>
    <x v="0"/>
    <x v="0"/>
    <s v="OK"/>
    <s v="Unique"/>
    <s v="Ready"/>
    <s v="Yaqshid - Assault"/>
  </r>
  <r>
    <s v="CRM00192"/>
    <x v="96"/>
    <x v="1"/>
    <x v="4"/>
    <x v="0"/>
    <x v="1"/>
    <x v="0"/>
    <x v="1"/>
    <x v="4"/>
    <x v="4"/>
    <s v="OK"/>
    <s v="Unique"/>
    <s v="Ready"/>
    <s v="Waberi - Theft"/>
  </r>
  <r>
    <s v="CRM00191"/>
    <x v="77"/>
    <x v="0"/>
    <x v="1"/>
    <x v="0"/>
    <x v="0"/>
    <x v="1"/>
    <x v="1"/>
    <x v="0"/>
    <x v="0"/>
    <s v="OK"/>
    <s v="Unique"/>
    <s v="Ready"/>
    <s v="Karan - Assault"/>
  </r>
  <r>
    <s v="CRM00190"/>
    <x v="97"/>
    <x v="2"/>
    <x v="4"/>
    <x v="2"/>
    <x v="0"/>
    <x v="1"/>
    <x v="1"/>
    <x v="1"/>
    <x v="1"/>
    <s v="OK"/>
    <s v="Unique"/>
    <s v="Ready"/>
    <s v="Hodan - Theft"/>
  </r>
  <r>
    <s v="CRM00189"/>
    <x v="98"/>
    <x v="1"/>
    <x v="0"/>
    <x v="2"/>
    <x v="0"/>
    <x v="0"/>
    <x v="1"/>
    <x v="8"/>
    <x v="8"/>
    <s v="OK"/>
    <s v="Unique"/>
    <s v="Ready"/>
    <s v="Hodan - Assault"/>
  </r>
  <r>
    <s v="CRM00188"/>
    <x v="60"/>
    <x v="0"/>
    <x v="4"/>
    <x v="2"/>
    <x v="0"/>
    <x v="0"/>
    <x v="0"/>
    <x v="5"/>
    <x v="5"/>
    <s v="OK"/>
    <s v="Unique"/>
    <s v="Ready"/>
    <s v="Hodan - Robbery"/>
  </r>
  <r>
    <s v="CRM00187"/>
    <x v="99"/>
    <x v="3"/>
    <x v="3"/>
    <x v="2"/>
    <x v="3"/>
    <x v="2"/>
    <x v="1"/>
    <x v="3"/>
    <x v="3"/>
    <s v="OK"/>
    <s v="Unique"/>
    <s v="Ready"/>
    <s v="Wadajir - Theft"/>
  </r>
  <r>
    <s v="CRM00185"/>
    <x v="100"/>
    <x v="3"/>
    <x v="1"/>
    <x v="1"/>
    <x v="1"/>
    <x v="2"/>
    <x v="1"/>
    <x v="9"/>
    <x v="9"/>
    <s v="Needs Review"/>
    <s v="Unique"/>
    <s v="Review"/>
    <s v="Hodan - Assault"/>
  </r>
  <r>
    <s v="CRM00183"/>
    <x v="101"/>
    <x v="5"/>
    <x v="2"/>
    <x v="1"/>
    <x v="0"/>
    <x v="0"/>
    <x v="0"/>
    <x v="3"/>
    <x v="3"/>
    <s v="Needs Review"/>
    <s v="Unique"/>
    <s v="Review"/>
    <s v="Wadajir - Robbery"/>
  </r>
  <r>
    <s v="CRM00182"/>
    <x v="102"/>
    <x v="2"/>
    <x v="3"/>
    <x v="2"/>
    <x v="1"/>
    <x v="1"/>
    <x v="0"/>
    <x v="0"/>
    <x v="0"/>
    <s v="OK"/>
    <s v="Unique"/>
    <s v="Ready"/>
    <s v="Waberi - Assault"/>
  </r>
  <r>
    <s v="CRM00181"/>
    <x v="103"/>
    <x v="1"/>
    <x v="2"/>
    <x v="0"/>
    <x v="1"/>
    <x v="0"/>
    <x v="0"/>
    <x v="3"/>
    <x v="3"/>
    <s v="OK"/>
    <s v="Unique"/>
    <s v="Ready"/>
    <s v="Hodan - Theft"/>
  </r>
  <r>
    <s v="CRM00180"/>
    <x v="104"/>
    <x v="2"/>
    <x v="3"/>
    <x v="0"/>
    <x v="1"/>
    <x v="1"/>
    <x v="1"/>
    <x v="0"/>
    <x v="0"/>
    <s v="OK"/>
    <s v="Unique"/>
    <s v="Ready"/>
    <s v="Karan - Traffic Offense"/>
  </r>
  <r>
    <s v="CRM00179"/>
    <x v="105"/>
    <x v="3"/>
    <x v="4"/>
    <x v="0"/>
    <x v="1"/>
    <x v="2"/>
    <x v="1"/>
    <x v="0"/>
    <x v="0"/>
    <s v="OK"/>
    <s v="Unique"/>
    <s v="Ready"/>
    <s v="Wadajir - Assault"/>
  </r>
  <r>
    <s v="CRM00178"/>
    <x v="94"/>
    <x v="2"/>
    <x v="2"/>
    <x v="1"/>
    <x v="3"/>
    <x v="1"/>
    <x v="0"/>
    <x v="1"/>
    <x v="1"/>
    <s v="Needs Review"/>
    <s v="Unique"/>
    <s v="Review"/>
    <s v="Hodan - Theft"/>
  </r>
  <r>
    <s v="CRM00177"/>
    <x v="34"/>
    <x v="5"/>
    <x v="0"/>
    <x v="2"/>
    <x v="1"/>
    <x v="1"/>
    <x v="1"/>
    <x v="7"/>
    <x v="7"/>
    <s v="OK"/>
    <s v="Unique"/>
    <s v="Ready"/>
    <s v="Waberi - Theft"/>
  </r>
  <r>
    <s v="CRM00176"/>
    <x v="106"/>
    <x v="0"/>
    <x v="5"/>
    <x v="0"/>
    <x v="3"/>
    <x v="0"/>
    <x v="1"/>
    <x v="2"/>
    <x v="2"/>
    <s v="OK"/>
    <s v="Unique"/>
    <s v="Ready"/>
    <s v="Yaqshid - Fraud"/>
  </r>
  <r>
    <s v="CRM00175"/>
    <x v="107"/>
    <x v="0"/>
    <x v="1"/>
    <x v="0"/>
    <x v="2"/>
    <x v="0"/>
    <x v="1"/>
    <x v="6"/>
    <x v="6"/>
    <s v="OK"/>
    <s v="Unique"/>
    <s v="Ready"/>
    <s v="Waberi - Assault"/>
  </r>
  <r>
    <s v="CRM00174"/>
    <x v="108"/>
    <x v="5"/>
    <x v="3"/>
    <x v="0"/>
    <x v="0"/>
    <x v="1"/>
    <x v="1"/>
    <x v="6"/>
    <x v="6"/>
    <s v="OK"/>
    <s v="Unique"/>
    <s v="Ready"/>
    <s v="Yaqshid - Robbery"/>
  </r>
  <r>
    <s v="CRM00173"/>
    <x v="109"/>
    <x v="2"/>
    <x v="1"/>
    <x v="1"/>
    <x v="1"/>
    <x v="1"/>
    <x v="1"/>
    <x v="1"/>
    <x v="1"/>
    <s v="Needs Review"/>
    <s v="Unique"/>
    <s v="Review"/>
    <s v="Hodan - Assault"/>
  </r>
  <r>
    <s v="CRM00172"/>
    <x v="0"/>
    <x v="2"/>
    <x v="1"/>
    <x v="0"/>
    <x v="1"/>
    <x v="1"/>
    <x v="0"/>
    <x v="0"/>
    <x v="0"/>
    <s v="OK"/>
    <s v="Unique"/>
    <s v="Ready"/>
    <s v="Hodan - Theft"/>
  </r>
  <r>
    <s v="CRM00171"/>
    <x v="110"/>
    <x v="2"/>
    <x v="5"/>
    <x v="0"/>
    <x v="0"/>
    <x v="1"/>
    <x v="0"/>
    <x v="6"/>
    <x v="6"/>
    <s v="OK"/>
    <s v="Unique"/>
    <s v="Ready"/>
    <s v="Hodan - Assault"/>
  </r>
  <r>
    <s v="CRM00170"/>
    <x v="111"/>
    <x v="0"/>
    <x v="4"/>
    <x v="2"/>
    <x v="0"/>
    <x v="0"/>
    <x v="1"/>
    <x v="5"/>
    <x v="5"/>
    <s v="OK"/>
    <s v="Unique"/>
    <s v="Ready"/>
    <s v="Yaqshid - Theft"/>
  </r>
  <r>
    <s v="CRM00169"/>
    <x v="112"/>
    <x v="3"/>
    <x v="4"/>
    <x v="2"/>
    <x v="1"/>
    <x v="2"/>
    <x v="0"/>
    <x v="4"/>
    <x v="4"/>
    <s v="OK"/>
    <s v="Unique"/>
    <s v="Ready"/>
    <s v="Hodan - Theft"/>
  </r>
  <r>
    <s v="CRM00168"/>
    <x v="113"/>
    <x v="2"/>
    <x v="1"/>
    <x v="0"/>
    <x v="0"/>
    <x v="1"/>
    <x v="0"/>
    <x v="4"/>
    <x v="4"/>
    <s v="OK"/>
    <s v="Unique"/>
    <s v="Ready"/>
    <s v="Daynile - Assault"/>
  </r>
  <r>
    <s v="CRM00167"/>
    <x v="114"/>
    <x v="5"/>
    <x v="4"/>
    <x v="1"/>
    <x v="3"/>
    <x v="1"/>
    <x v="1"/>
    <x v="4"/>
    <x v="4"/>
    <s v="Needs Review"/>
    <s v="Unique"/>
    <s v="Review"/>
    <s v="Karan - Robbery"/>
  </r>
  <r>
    <s v="CRM00166"/>
    <x v="115"/>
    <x v="4"/>
    <x v="1"/>
    <x v="0"/>
    <x v="1"/>
    <x v="1"/>
    <x v="1"/>
    <x v="3"/>
    <x v="3"/>
    <s v="OK"/>
    <s v="Unique"/>
    <s v="Ready"/>
    <s v="Hodan - Fraud"/>
  </r>
  <r>
    <s v="CRM00165"/>
    <x v="116"/>
    <x v="2"/>
    <x v="3"/>
    <x v="0"/>
    <x v="0"/>
    <x v="1"/>
    <x v="1"/>
    <x v="9"/>
    <x v="9"/>
    <s v="OK"/>
    <s v="Unique"/>
    <s v="Ready"/>
    <s v="Wadajir - Fraud"/>
  </r>
  <r>
    <s v="CRM00164"/>
    <x v="117"/>
    <x v="5"/>
    <x v="3"/>
    <x v="1"/>
    <x v="3"/>
    <x v="1"/>
    <x v="1"/>
    <x v="7"/>
    <x v="7"/>
    <s v="Needs Review"/>
    <s v="Unique"/>
    <s v="Review"/>
    <s v="Wadajir - Theft"/>
  </r>
  <r>
    <s v="CRM00163"/>
    <x v="0"/>
    <x v="2"/>
    <x v="4"/>
    <x v="0"/>
    <x v="1"/>
    <x v="1"/>
    <x v="0"/>
    <x v="0"/>
    <x v="0"/>
    <s v="OK"/>
    <s v="Unique"/>
    <s v="Ready"/>
    <s v="Karan - Theft"/>
  </r>
  <r>
    <s v="CRM00162"/>
    <x v="118"/>
    <x v="0"/>
    <x v="1"/>
    <x v="0"/>
    <x v="0"/>
    <x v="0"/>
    <x v="0"/>
    <x v="4"/>
    <x v="4"/>
    <s v="OK"/>
    <s v="Unique"/>
    <s v="Ready"/>
    <s v="Karan - Assault"/>
  </r>
  <r>
    <s v="CRM00161"/>
    <x v="119"/>
    <x v="2"/>
    <x v="5"/>
    <x v="0"/>
    <x v="3"/>
    <x v="0"/>
    <x v="1"/>
    <x v="7"/>
    <x v="7"/>
    <s v="OK"/>
    <s v="Unique"/>
    <s v="Ready"/>
    <s v="Wadajir - Theft"/>
  </r>
  <r>
    <s v="CRM00160"/>
    <x v="120"/>
    <x v="0"/>
    <x v="3"/>
    <x v="0"/>
    <x v="2"/>
    <x v="0"/>
    <x v="1"/>
    <x v="5"/>
    <x v="5"/>
    <s v="OK"/>
    <s v="Unique"/>
    <s v="Ready"/>
    <s v="Wadajir - Fraud"/>
  </r>
  <r>
    <s v="CRM00158"/>
    <x v="121"/>
    <x v="0"/>
    <x v="4"/>
    <x v="0"/>
    <x v="3"/>
    <x v="0"/>
    <x v="1"/>
    <x v="8"/>
    <x v="8"/>
    <s v="OK"/>
    <s v="Unique"/>
    <s v="Ready"/>
    <s v="Karan - Fraud"/>
  </r>
  <r>
    <s v="CRM00157"/>
    <x v="122"/>
    <x v="1"/>
    <x v="2"/>
    <x v="2"/>
    <x v="2"/>
    <x v="0"/>
    <x v="0"/>
    <x v="4"/>
    <x v="4"/>
    <s v="OK"/>
    <s v="Unique"/>
    <s v="Ready"/>
    <s v="Wadajir - Assault"/>
  </r>
  <r>
    <s v="CRM00156"/>
    <x v="123"/>
    <x v="2"/>
    <x v="0"/>
    <x v="0"/>
    <x v="1"/>
    <x v="1"/>
    <x v="0"/>
    <x v="0"/>
    <x v="0"/>
    <s v="OK"/>
    <s v="Unique"/>
    <s v="Ready"/>
    <s v="Daynile - Robbery"/>
  </r>
  <r>
    <s v="CRM00155"/>
    <x v="124"/>
    <x v="0"/>
    <x v="2"/>
    <x v="0"/>
    <x v="1"/>
    <x v="0"/>
    <x v="0"/>
    <x v="3"/>
    <x v="3"/>
    <s v="OK"/>
    <s v="Unique"/>
    <s v="Ready"/>
    <s v="Hodan - Assault"/>
  </r>
  <r>
    <s v="CRM00153"/>
    <x v="125"/>
    <x v="2"/>
    <x v="1"/>
    <x v="1"/>
    <x v="3"/>
    <x v="1"/>
    <x v="0"/>
    <x v="6"/>
    <x v="6"/>
    <s v="Needs Review"/>
    <s v="Unique"/>
    <s v="Review"/>
    <s v="Waberi - Burglary"/>
  </r>
  <r>
    <s v="CRM00152"/>
    <x v="60"/>
    <x v="5"/>
    <x v="3"/>
    <x v="2"/>
    <x v="1"/>
    <x v="2"/>
    <x v="0"/>
    <x v="5"/>
    <x v="5"/>
    <s v="OK"/>
    <s v="Unique"/>
    <s v="Ready"/>
    <s v="Karan - Theft"/>
  </r>
  <r>
    <s v="CRM00151"/>
    <x v="126"/>
    <x v="1"/>
    <x v="0"/>
    <x v="2"/>
    <x v="1"/>
    <x v="0"/>
    <x v="1"/>
    <x v="2"/>
    <x v="2"/>
    <s v="OK"/>
    <s v="Unique"/>
    <s v="Ready"/>
    <s v="Hodan - Theft"/>
  </r>
  <r>
    <s v="CRM00150"/>
    <x v="29"/>
    <x v="2"/>
    <x v="1"/>
    <x v="2"/>
    <x v="1"/>
    <x v="1"/>
    <x v="0"/>
    <x v="3"/>
    <x v="3"/>
    <s v="OK"/>
    <s v="Unique"/>
    <s v="Ready"/>
    <s v="Waberi - Fraud"/>
  </r>
  <r>
    <s v="CRM00149"/>
    <x v="127"/>
    <x v="2"/>
    <x v="1"/>
    <x v="0"/>
    <x v="3"/>
    <x v="1"/>
    <x v="0"/>
    <x v="4"/>
    <x v="4"/>
    <s v="OK"/>
    <s v="Unique"/>
    <s v="Ready"/>
    <s v="Waberi - Robbery"/>
  </r>
  <r>
    <s v="CRM00148"/>
    <x v="7"/>
    <x v="2"/>
    <x v="4"/>
    <x v="1"/>
    <x v="1"/>
    <x v="1"/>
    <x v="1"/>
    <x v="0"/>
    <x v="0"/>
    <s v="Needs Review"/>
    <s v="Unique"/>
    <s v="Review"/>
    <s v="Yaqshid - Theft"/>
  </r>
  <r>
    <s v="CRM00147"/>
    <x v="128"/>
    <x v="0"/>
    <x v="1"/>
    <x v="2"/>
    <x v="0"/>
    <x v="0"/>
    <x v="1"/>
    <x v="11"/>
    <x v="11"/>
    <s v="OK"/>
    <s v="Unique"/>
    <s v="Ready"/>
    <s v="Wadajir - Fraud"/>
  </r>
  <r>
    <s v="CRM00146"/>
    <x v="7"/>
    <x v="0"/>
    <x v="0"/>
    <x v="2"/>
    <x v="0"/>
    <x v="0"/>
    <x v="1"/>
    <x v="0"/>
    <x v="0"/>
    <s v="OK"/>
    <s v="Unique"/>
    <s v="Ready"/>
    <s v="Wadajir - Theft"/>
  </r>
  <r>
    <s v="CRM00145"/>
    <x v="31"/>
    <x v="5"/>
    <x v="0"/>
    <x v="2"/>
    <x v="1"/>
    <x v="1"/>
    <x v="1"/>
    <x v="11"/>
    <x v="11"/>
    <s v="OK"/>
    <s v="Unique"/>
    <s v="Ready"/>
    <s v="Yaqshid - Fraud"/>
  </r>
  <r>
    <s v="CRM00144"/>
    <x v="129"/>
    <x v="5"/>
    <x v="5"/>
    <x v="1"/>
    <x v="3"/>
    <x v="1"/>
    <x v="0"/>
    <x v="5"/>
    <x v="5"/>
    <s v="Needs Review"/>
    <s v="Unique"/>
    <s v="Review"/>
    <s v="Waberi - Robbery"/>
  </r>
  <r>
    <s v="CRM00143"/>
    <x v="130"/>
    <x v="2"/>
    <x v="4"/>
    <x v="2"/>
    <x v="1"/>
    <x v="1"/>
    <x v="0"/>
    <x v="4"/>
    <x v="4"/>
    <s v="OK"/>
    <s v="Unique"/>
    <s v="Ready"/>
    <s v="Daynile - Robbery"/>
  </r>
  <r>
    <s v="CRM00142"/>
    <x v="131"/>
    <x v="0"/>
    <x v="1"/>
    <x v="2"/>
    <x v="0"/>
    <x v="0"/>
    <x v="0"/>
    <x v="10"/>
    <x v="10"/>
    <s v="OK"/>
    <s v="Unique"/>
    <s v="Ready"/>
    <s v="Daynile - Fraud"/>
  </r>
  <r>
    <s v="CRM00141"/>
    <x v="0"/>
    <x v="4"/>
    <x v="4"/>
    <x v="2"/>
    <x v="1"/>
    <x v="1"/>
    <x v="0"/>
    <x v="0"/>
    <x v="0"/>
    <s v="OK"/>
    <s v="Unique"/>
    <s v="Ready"/>
    <s v="Wadajir - Assault"/>
  </r>
  <r>
    <s v="CRM00140"/>
    <x v="132"/>
    <x v="1"/>
    <x v="4"/>
    <x v="2"/>
    <x v="3"/>
    <x v="0"/>
    <x v="1"/>
    <x v="3"/>
    <x v="3"/>
    <s v="OK"/>
    <s v="Unique"/>
    <s v="Ready"/>
    <s v="Daynile - Theft"/>
  </r>
  <r>
    <s v="CRM00139"/>
    <x v="133"/>
    <x v="1"/>
    <x v="5"/>
    <x v="0"/>
    <x v="2"/>
    <x v="0"/>
    <x v="0"/>
    <x v="4"/>
    <x v="4"/>
    <s v="OK"/>
    <s v="Unique"/>
    <s v="Ready"/>
    <s v="Yaqshid - Burglary"/>
  </r>
  <r>
    <s v="CRM00138"/>
    <x v="134"/>
    <x v="2"/>
    <x v="3"/>
    <x v="2"/>
    <x v="3"/>
    <x v="1"/>
    <x v="0"/>
    <x v="10"/>
    <x v="10"/>
    <s v="OK"/>
    <s v="Unique"/>
    <s v="Ready"/>
    <s v="Wadajir - Theft"/>
  </r>
  <r>
    <s v="CRM00137"/>
    <x v="135"/>
    <x v="3"/>
    <x v="5"/>
    <x v="0"/>
    <x v="2"/>
    <x v="2"/>
    <x v="0"/>
    <x v="4"/>
    <x v="4"/>
    <s v="OK"/>
    <s v="Unique"/>
    <s v="Ready"/>
    <s v="Daynile - Assault"/>
  </r>
  <r>
    <s v="CRM00136"/>
    <x v="72"/>
    <x v="2"/>
    <x v="3"/>
    <x v="1"/>
    <x v="1"/>
    <x v="1"/>
    <x v="1"/>
    <x v="2"/>
    <x v="2"/>
    <s v="Needs Review"/>
    <s v="Unique"/>
    <s v="Review"/>
    <s v="Yaqshid - Theft"/>
  </r>
  <r>
    <s v="CRM00135"/>
    <x v="136"/>
    <x v="5"/>
    <x v="3"/>
    <x v="2"/>
    <x v="0"/>
    <x v="1"/>
    <x v="1"/>
    <x v="10"/>
    <x v="10"/>
    <s v="OK"/>
    <s v="Unique"/>
    <s v="Ready"/>
    <s v="Waberi - Theft"/>
  </r>
  <r>
    <s v="CRM00134"/>
    <x v="137"/>
    <x v="0"/>
    <x v="1"/>
    <x v="1"/>
    <x v="0"/>
    <x v="1"/>
    <x v="1"/>
    <x v="0"/>
    <x v="0"/>
    <s v="Needs Review"/>
    <s v="Unique"/>
    <s v="Review"/>
    <s v="Hodan - Assault"/>
  </r>
  <r>
    <s v="CRM00133"/>
    <x v="105"/>
    <x v="4"/>
    <x v="5"/>
    <x v="0"/>
    <x v="1"/>
    <x v="1"/>
    <x v="1"/>
    <x v="0"/>
    <x v="0"/>
    <s v="OK"/>
    <s v="Unique"/>
    <s v="Ready"/>
    <s v="Daynile - Theft"/>
  </r>
  <r>
    <s v="CRM00132"/>
    <x v="10"/>
    <x v="4"/>
    <x v="4"/>
    <x v="2"/>
    <x v="1"/>
    <x v="1"/>
    <x v="1"/>
    <x v="6"/>
    <x v="6"/>
    <s v="OK"/>
    <s v="Unique"/>
    <s v="Ready"/>
    <s v="Hodan - Theft"/>
  </r>
  <r>
    <s v="CRM00131"/>
    <x v="138"/>
    <x v="0"/>
    <x v="3"/>
    <x v="2"/>
    <x v="2"/>
    <x v="0"/>
    <x v="0"/>
    <x v="5"/>
    <x v="5"/>
    <s v="OK"/>
    <s v="Unique"/>
    <s v="Ready"/>
    <s v="Hodan - Assault"/>
  </r>
  <r>
    <s v="CRM00130"/>
    <x v="139"/>
    <x v="5"/>
    <x v="1"/>
    <x v="2"/>
    <x v="2"/>
    <x v="1"/>
    <x v="0"/>
    <x v="1"/>
    <x v="1"/>
    <s v="OK"/>
    <s v="Unique"/>
    <s v="Ready"/>
    <s v="Yaqshid - Fraud"/>
  </r>
  <r>
    <s v="CRM00129"/>
    <x v="140"/>
    <x v="5"/>
    <x v="2"/>
    <x v="2"/>
    <x v="1"/>
    <x v="1"/>
    <x v="0"/>
    <x v="0"/>
    <x v="0"/>
    <s v="OK"/>
    <s v="Unique"/>
    <s v="Ready"/>
    <s v="Hodan - Fraud"/>
  </r>
  <r>
    <s v="CRM00128"/>
    <x v="0"/>
    <x v="3"/>
    <x v="5"/>
    <x v="0"/>
    <x v="1"/>
    <x v="2"/>
    <x v="0"/>
    <x v="0"/>
    <x v="0"/>
    <s v="OK"/>
    <s v="Unique"/>
    <s v="Ready"/>
    <s v="Karan - Robbery"/>
  </r>
  <r>
    <s v="CRM00127"/>
    <x v="141"/>
    <x v="5"/>
    <x v="4"/>
    <x v="0"/>
    <x v="2"/>
    <x v="1"/>
    <x v="0"/>
    <x v="4"/>
    <x v="4"/>
    <s v="OK"/>
    <s v="Unique"/>
    <s v="Ready"/>
    <s v="Wadajir - Theft"/>
  </r>
  <r>
    <s v="CRM00126"/>
    <x v="142"/>
    <x v="2"/>
    <x v="1"/>
    <x v="1"/>
    <x v="0"/>
    <x v="1"/>
    <x v="0"/>
    <x v="3"/>
    <x v="3"/>
    <s v="Needs Review"/>
    <s v="Unique"/>
    <s v="Review"/>
    <s v="Yaqshid - Theft"/>
  </r>
  <r>
    <s v="CRM00125"/>
    <x v="143"/>
    <x v="0"/>
    <x v="4"/>
    <x v="1"/>
    <x v="2"/>
    <x v="0"/>
    <x v="0"/>
    <x v="6"/>
    <x v="6"/>
    <s v="Needs Review"/>
    <s v="Unique"/>
    <s v="Review"/>
    <s v="Wadajir - Traffic Offense"/>
  </r>
  <r>
    <s v="CRM00124"/>
    <x v="144"/>
    <x v="1"/>
    <x v="4"/>
    <x v="1"/>
    <x v="0"/>
    <x v="0"/>
    <x v="1"/>
    <x v="4"/>
    <x v="4"/>
    <s v="Needs Review"/>
    <s v="Unique"/>
    <s v="Review"/>
    <s v="Wadajir - Theft"/>
  </r>
  <r>
    <s v="CRM00123"/>
    <x v="145"/>
    <x v="2"/>
    <x v="3"/>
    <x v="1"/>
    <x v="1"/>
    <x v="1"/>
    <x v="1"/>
    <x v="3"/>
    <x v="3"/>
    <s v="Needs Review"/>
    <s v="Unique"/>
    <s v="Review"/>
    <s v="Hodan - Assault"/>
  </r>
  <r>
    <s v="CRM00122"/>
    <x v="146"/>
    <x v="2"/>
    <x v="1"/>
    <x v="2"/>
    <x v="3"/>
    <x v="1"/>
    <x v="1"/>
    <x v="2"/>
    <x v="2"/>
    <s v="OK"/>
    <s v="Unique"/>
    <s v="Ready"/>
    <s v="Wadajir - Theft"/>
  </r>
  <r>
    <s v="CRM00121"/>
    <x v="147"/>
    <x v="2"/>
    <x v="2"/>
    <x v="0"/>
    <x v="2"/>
    <x v="2"/>
    <x v="1"/>
    <x v="0"/>
    <x v="0"/>
    <s v="OK"/>
    <s v="Unique"/>
    <s v="Ready"/>
    <s v="Wadajir - Assault"/>
  </r>
  <r>
    <s v="CRM00120"/>
    <x v="24"/>
    <x v="5"/>
    <x v="1"/>
    <x v="1"/>
    <x v="2"/>
    <x v="1"/>
    <x v="1"/>
    <x v="7"/>
    <x v="7"/>
    <s v="Needs Review"/>
    <s v="Unique"/>
    <s v="Review"/>
    <s v="Hodan - Fraud"/>
  </r>
  <r>
    <s v="CRM00119"/>
    <x v="148"/>
    <x v="1"/>
    <x v="3"/>
    <x v="0"/>
    <x v="1"/>
    <x v="0"/>
    <x v="1"/>
    <x v="9"/>
    <x v="9"/>
    <s v="OK"/>
    <s v="Unique"/>
    <s v="Ready"/>
    <s v="Wadajir - Theft"/>
  </r>
  <r>
    <s v="CRM00118"/>
    <x v="3"/>
    <x v="2"/>
    <x v="1"/>
    <x v="0"/>
    <x v="2"/>
    <x v="1"/>
    <x v="1"/>
    <x v="1"/>
    <x v="1"/>
    <s v="OK"/>
    <s v="Unique"/>
    <s v="Ready"/>
    <s v="Hodan - Theft"/>
  </r>
  <r>
    <s v="CRM00117"/>
    <x v="149"/>
    <x v="2"/>
    <x v="4"/>
    <x v="0"/>
    <x v="1"/>
    <x v="1"/>
    <x v="0"/>
    <x v="0"/>
    <x v="0"/>
    <s v="OK"/>
    <s v="Unique"/>
    <s v="Ready"/>
    <s v="Waberi - Traffic Offense"/>
  </r>
  <r>
    <s v="CRM00116"/>
    <x v="150"/>
    <x v="0"/>
    <x v="0"/>
    <x v="0"/>
    <x v="1"/>
    <x v="0"/>
    <x v="1"/>
    <x v="6"/>
    <x v="6"/>
    <s v="OK"/>
    <s v="Unique"/>
    <s v="Ready"/>
    <s v="Wadajir - Theft"/>
  </r>
  <r>
    <s v="CRM00114"/>
    <x v="151"/>
    <x v="0"/>
    <x v="1"/>
    <x v="0"/>
    <x v="1"/>
    <x v="0"/>
    <x v="1"/>
    <x v="9"/>
    <x v="9"/>
    <s v="OK"/>
    <s v="Unique"/>
    <s v="Ready"/>
    <s v="Wadajir - Fraud"/>
  </r>
  <r>
    <s v="CRM00113"/>
    <x v="98"/>
    <x v="1"/>
    <x v="1"/>
    <x v="0"/>
    <x v="1"/>
    <x v="0"/>
    <x v="1"/>
    <x v="8"/>
    <x v="8"/>
    <s v="OK"/>
    <s v="Unique"/>
    <s v="Ready"/>
    <s v="Hodan - Theft"/>
  </r>
  <r>
    <s v="CRM00112"/>
    <x v="152"/>
    <x v="2"/>
    <x v="5"/>
    <x v="1"/>
    <x v="0"/>
    <x v="1"/>
    <x v="1"/>
    <x v="11"/>
    <x v="11"/>
    <s v="Needs Review"/>
    <s v="Unique"/>
    <s v="Review"/>
    <s v="Hodan - Assault"/>
  </r>
  <r>
    <s v="CRM00111"/>
    <x v="153"/>
    <x v="2"/>
    <x v="2"/>
    <x v="0"/>
    <x v="1"/>
    <x v="1"/>
    <x v="0"/>
    <x v="4"/>
    <x v="4"/>
    <s v="OK"/>
    <s v="Unique"/>
    <s v="Ready"/>
    <s v="Wadajir - Traffic Offense"/>
  </r>
  <r>
    <s v="CRM00109"/>
    <x v="154"/>
    <x v="1"/>
    <x v="3"/>
    <x v="0"/>
    <x v="1"/>
    <x v="1"/>
    <x v="0"/>
    <x v="10"/>
    <x v="10"/>
    <s v="OK"/>
    <s v="Unique"/>
    <s v="Ready"/>
    <s v="Hodan - Traffic Offense"/>
  </r>
  <r>
    <s v="CRM00107"/>
    <x v="155"/>
    <x v="1"/>
    <x v="0"/>
    <x v="0"/>
    <x v="2"/>
    <x v="0"/>
    <x v="1"/>
    <x v="11"/>
    <x v="11"/>
    <s v="OK"/>
    <s v="Unique"/>
    <s v="Ready"/>
    <s v="Hodan - Theft"/>
  </r>
  <r>
    <s v="CRM00106"/>
    <x v="156"/>
    <x v="2"/>
    <x v="0"/>
    <x v="1"/>
    <x v="0"/>
    <x v="1"/>
    <x v="0"/>
    <x v="6"/>
    <x v="6"/>
    <s v="Needs Review"/>
    <s v="Unique"/>
    <s v="Review"/>
    <s v="Hodan - Traffic Offense"/>
  </r>
  <r>
    <s v="CRM00105"/>
    <x v="81"/>
    <x v="3"/>
    <x v="5"/>
    <x v="0"/>
    <x v="1"/>
    <x v="2"/>
    <x v="1"/>
    <x v="6"/>
    <x v="6"/>
    <s v="OK"/>
    <s v="Unique"/>
    <s v="Ready"/>
    <s v="Hodan - Theft"/>
  </r>
  <r>
    <s v="CRM00104"/>
    <x v="157"/>
    <x v="1"/>
    <x v="3"/>
    <x v="0"/>
    <x v="3"/>
    <x v="0"/>
    <x v="1"/>
    <x v="4"/>
    <x v="4"/>
    <s v="OK"/>
    <s v="Unique"/>
    <s v="Ready"/>
    <s v="Yaqshid - Robbery"/>
  </r>
  <r>
    <s v="CRM00103"/>
    <x v="158"/>
    <x v="1"/>
    <x v="1"/>
    <x v="2"/>
    <x v="1"/>
    <x v="0"/>
    <x v="0"/>
    <x v="5"/>
    <x v="5"/>
    <s v="OK"/>
    <s v="Unique"/>
    <s v="Ready"/>
    <s v="Hodan - Theft"/>
  </r>
  <r>
    <s v="CRM00102"/>
    <x v="159"/>
    <x v="2"/>
    <x v="3"/>
    <x v="2"/>
    <x v="1"/>
    <x v="1"/>
    <x v="1"/>
    <x v="7"/>
    <x v="7"/>
    <s v="OK"/>
    <s v="Unique"/>
    <s v="Ready"/>
    <s v="Hodan - Robbery"/>
  </r>
  <r>
    <s v="CRM00101"/>
    <x v="160"/>
    <x v="0"/>
    <x v="1"/>
    <x v="0"/>
    <x v="0"/>
    <x v="0"/>
    <x v="1"/>
    <x v="10"/>
    <x v="10"/>
    <s v="OK"/>
    <s v="Unique"/>
    <s v="Ready"/>
    <s v="Waberi - Theft"/>
  </r>
  <r>
    <s v="CRM00100"/>
    <x v="161"/>
    <x v="3"/>
    <x v="4"/>
    <x v="1"/>
    <x v="3"/>
    <x v="2"/>
    <x v="1"/>
    <x v="11"/>
    <x v="11"/>
    <s v="Needs Review"/>
    <s v="Unique"/>
    <s v="Review"/>
    <s v="Hodan - Fraud"/>
  </r>
  <r>
    <s v="CRM00099"/>
    <x v="162"/>
    <x v="2"/>
    <x v="4"/>
    <x v="0"/>
    <x v="2"/>
    <x v="1"/>
    <x v="0"/>
    <x v="6"/>
    <x v="6"/>
    <s v="OK"/>
    <s v="Unique"/>
    <s v="Ready"/>
    <s v="Daynile - Assault"/>
  </r>
  <r>
    <s v="CRM00098"/>
    <x v="163"/>
    <x v="5"/>
    <x v="1"/>
    <x v="0"/>
    <x v="1"/>
    <x v="1"/>
    <x v="1"/>
    <x v="4"/>
    <x v="4"/>
    <s v="OK"/>
    <s v="Unique"/>
    <s v="Ready"/>
    <s v="Waberi - Robbery"/>
  </r>
  <r>
    <s v="CRM00097"/>
    <x v="164"/>
    <x v="0"/>
    <x v="0"/>
    <x v="2"/>
    <x v="3"/>
    <x v="0"/>
    <x v="0"/>
    <x v="0"/>
    <x v="0"/>
    <s v="OK"/>
    <s v="Unique"/>
    <s v="Ready"/>
    <s v="Hodan - Fraud"/>
  </r>
  <r>
    <s v="CRM00096"/>
    <x v="81"/>
    <x v="5"/>
    <x v="2"/>
    <x v="0"/>
    <x v="3"/>
    <x v="1"/>
    <x v="1"/>
    <x v="6"/>
    <x v="6"/>
    <s v="OK"/>
    <s v="Unique"/>
    <s v="Ready"/>
    <s v="Daynile - Robbery"/>
  </r>
  <r>
    <s v="CRM00094"/>
    <x v="165"/>
    <x v="2"/>
    <x v="4"/>
    <x v="0"/>
    <x v="1"/>
    <x v="1"/>
    <x v="0"/>
    <x v="5"/>
    <x v="5"/>
    <s v="OK"/>
    <s v="Unique"/>
    <s v="Ready"/>
    <s v="Waberi - Fraud"/>
  </r>
  <r>
    <s v="CRM00093"/>
    <x v="166"/>
    <x v="2"/>
    <x v="0"/>
    <x v="0"/>
    <x v="1"/>
    <x v="1"/>
    <x v="1"/>
    <x v="4"/>
    <x v="4"/>
    <s v="OK"/>
    <s v="Unique"/>
    <s v="Ready"/>
    <s v="Wadajir - Burglary"/>
  </r>
  <r>
    <s v="CRM00092"/>
    <x v="167"/>
    <x v="0"/>
    <x v="1"/>
    <x v="2"/>
    <x v="1"/>
    <x v="1"/>
    <x v="0"/>
    <x v="10"/>
    <x v="10"/>
    <s v="OK"/>
    <s v="Unique"/>
    <s v="Ready"/>
    <s v="Yaqshid - Theft"/>
  </r>
  <r>
    <s v="CRM00091"/>
    <x v="168"/>
    <x v="1"/>
    <x v="1"/>
    <x v="0"/>
    <x v="1"/>
    <x v="0"/>
    <x v="0"/>
    <x v="6"/>
    <x v="6"/>
    <s v="OK"/>
    <s v="Unique"/>
    <s v="Ready"/>
    <s v="Hodan - Assault"/>
  </r>
  <r>
    <s v="CRM00090"/>
    <x v="169"/>
    <x v="0"/>
    <x v="5"/>
    <x v="0"/>
    <x v="1"/>
    <x v="0"/>
    <x v="1"/>
    <x v="2"/>
    <x v="2"/>
    <s v="OK"/>
    <s v="Unique"/>
    <s v="Ready"/>
    <s v="Karan - Assault"/>
  </r>
  <r>
    <s v="CRM00088"/>
    <x v="170"/>
    <x v="1"/>
    <x v="4"/>
    <x v="0"/>
    <x v="3"/>
    <x v="0"/>
    <x v="1"/>
    <x v="8"/>
    <x v="8"/>
    <s v="OK"/>
    <s v="Unique"/>
    <s v="Ready"/>
    <s v="Wadajir - Theft"/>
  </r>
  <r>
    <s v="CRM00087"/>
    <x v="171"/>
    <x v="4"/>
    <x v="3"/>
    <x v="1"/>
    <x v="0"/>
    <x v="1"/>
    <x v="1"/>
    <x v="8"/>
    <x v="8"/>
    <s v="Needs Review"/>
    <s v="Unique"/>
    <s v="Review"/>
    <s v="Wadajir - Theft"/>
  </r>
  <r>
    <s v="CRM00086"/>
    <x v="58"/>
    <x v="5"/>
    <x v="2"/>
    <x v="2"/>
    <x v="3"/>
    <x v="1"/>
    <x v="1"/>
    <x v="7"/>
    <x v="7"/>
    <s v="OK"/>
    <s v="Unique"/>
    <s v="Ready"/>
    <s v="Hodan - Fraud"/>
  </r>
  <r>
    <s v="CRM00085"/>
    <x v="172"/>
    <x v="2"/>
    <x v="1"/>
    <x v="0"/>
    <x v="0"/>
    <x v="1"/>
    <x v="1"/>
    <x v="2"/>
    <x v="2"/>
    <s v="OK"/>
    <s v="Unique"/>
    <s v="Ready"/>
    <s v="Karan - Theft"/>
  </r>
  <r>
    <s v="CRM00083"/>
    <x v="82"/>
    <x v="5"/>
    <x v="1"/>
    <x v="2"/>
    <x v="0"/>
    <x v="1"/>
    <x v="1"/>
    <x v="1"/>
    <x v="1"/>
    <s v="OK"/>
    <s v="Unique"/>
    <s v="Ready"/>
    <s v="Hodan - Fraud"/>
  </r>
  <r>
    <s v="CRM00082"/>
    <x v="173"/>
    <x v="2"/>
    <x v="2"/>
    <x v="2"/>
    <x v="3"/>
    <x v="1"/>
    <x v="1"/>
    <x v="3"/>
    <x v="3"/>
    <s v="OK"/>
    <s v="Unique"/>
    <s v="Ready"/>
    <s v="Waberi - Theft"/>
  </r>
  <r>
    <s v="CRM00081"/>
    <x v="174"/>
    <x v="2"/>
    <x v="5"/>
    <x v="0"/>
    <x v="1"/>
    <x v="1"/>
    <x v="1"/>
    <x v="1"/>
    <x v="1"/>
    <s v="OK"/>
    <s v="Unique"/>
    <s v="Ready"/>
    <s v="Yaqshid - Burglary"/>
  </r>
  <r>
    <s v="CRM00078"/>
    <x v="131"/>
    <x v="3"/>
    <x v="1"/>
    <x v="0"/>
    <x v="1"/>
    <x v="2"/>
    <x v="0"/>
    <x v="10"/>
    <x v="10"/>
    <s v="OK"/>
    <s v="Unique"/>
    <s v="Ready"/>
    <s v="Wadajir - Traffic Offense"/>
  </r>
  <r>
    <s v="CRM00077"/>
    <x v="175"/>
    <x v="3"/>
    <x v="1"/>
    <x v="0"/>
    <x v="1"/>
    <x v="0"/>
    <x v="0"/>
    <x v="4"/>
    <x v="4"/>
    <s v="OK"/>
    <s v="Unique"/>
    <s v="Ready"/>
    <s v="Hodan - Fraud"/>
  </r>
  <r>
    <s v="CRM00076"/>
    <x v="176"/>
    <x v="2"/>
    <x v="3"/>
    <x v="2"/>
    <x v="2"/>
    <x v="1"/>
    <x v="1"/>
    <x v="9"/>
    <x v="9"/>
    <s v="OK"/>
    <s v="Unique"/>
    <s v="Ready"/>
    <s v="Hodan - Theft"/>
  </r>
  <r>
    <s v="CRM00075"/>
    <x v="177"/>
    <x v="2"/>
    <x v="1"/>
    <x v="2"/>
    <x v="0"/>
    <x v="1"/>
    <x v="1"/>
    <x v="2"/>
    <x v="2"/>
    <s v="OK"/>
    <s v="Unique"/>
    <s v="Ready"/>
    <s v="Daynile - Traffic Offense"/>
  </r>
  <r>
    <s v="CRM00074"/>
    <x v="83"/>
    <x v="2"/>
    <x v="1"/>
    <x v="2"/>
    <x v="3"/>
    <x v="1"/>
    <x v="1"/>
    <x v="8"/>
    <x v="8"/>
    <s v="OK"/>
    <s v="Unique"/>
    <s v="Ready"/>
    <s v="Wadajir - Fraud"/>
  </r>
  <r>
    <s v="CRM00073"/>
    <x v="148"/>
    <x v="3"/>
    <x v="3"/>
    <x v="2"/>
    <x v="3"/>
    <x v="2"/>
    <x v="1"/>
    <x v="9"/>
    <x v="9"/>
    <s v="OK"/>
    <s v="Unique"/>
    <s v="Ready"/>
    <s v="Waberi - Theft"/>
  </r>
  <r>
    <s v="CRM00072"/>
    <x v="178"/>
    <x v="5"/>
    <x v="3"/>
    <x v="2"/>
    <x v="2"/>
    <x v="1"/>
    <x v="1"/>
    <x v="5"/>
    <x v="5"/>
    <s v="OK"/>
    <s v="Unique"/>
    <s v="Ready"/>
    <s v="Daynile - Assault"/>
  </r>
  <r>
    <s v="CRM00071"/>
    <x v="102"/>
    <x v="3"/>
    <x v="2"/>
    <x v="0"/>
    <x v="1"/>
    <x v="2"/>
    <x v="0"/>
    <x v="0"/>
    <x v="0"/>
    <s v="OK"/>
    <s v="Unique"/>
    <s v="Ready"/>
    <s v="Hodan - Robbery"/>
  </r>
  <r>
    <s v="CRM00070"/>
    <x v="179"/>
    <x v="1"/>
    <x v="1"/>
    <x v="0"/>
    <x v="1"/>
    <x v="0"/>
    <x v="0"/>
    <x v="3"/>
    <x v="3"/>
    <s v="OK"/>
    <s v="Unique"/>
    <s v="Ready"/>
    <s v="Hodan - Robbery"/>
  </r>
  <r>
    <s v="CRM00068"/>
    <x v="180"/>
    <x v="2"/>
    <x v="3"/>
    <x v="2"/>
    <x v="1"/>
    <x v="1"/>
    <x v="1"/>
    <x v="11"/>
    <x v="11"/>
    <s v="OK"/>
    <s v="Unique"/>
    <s v="Ready"/>
    <s v="Wadajir - Burglary"/>
  </r>
  <r>
    <s v="CRM00067"/>
    <x v="181"/>
    <x v="2"/>
    <x v="1"/>
    <x v="0"/>
    <x v="1"/>
    <x v="1"/>
    <x v="1"/>
    <x v="9"/>
    <x v="9"/>
    <s v="OK"/>
    <s v="Unique"/>
    <s v="Ready"/>
    <s v="Hodan - Theft"/>
  </r>
  <r>
    <s v="CRM00066"/>
    <x v="1"/>
    <x v="4"/>
    <x v="4"/>
    <x v="2"/>
    <x v="3"/>
    <x v="1"/>
    <x v="1"/>
    <x v="1"/>
    <x v="1"/>
    <s v="OK"/>
    <s v="Unique"/>
    <s v="Ready"/>
    <s v="Hodan - Fraud"/>
  </r>
  <r>
    <s v="CRM00065"/>
    <x v="136"/>
    <x v="5"/>
    <x v="3"/>
    <x v="0"/>
    <x v="1"/>
    <x v="1"/>
    <x v="1"/>
    <x v="10"/>
    <x v="10"/>
    <s v="OK"/>
    <s v="Unique"/>
    <s v="Ready"/>
    <s v="Yaqshid - Assault"/>
  </r>
  <r>
    <s v="CRM00064"/>
    <x v="182"/>
    <x v="1"/>
    <x v="5"/>
    <x v="0"/>
    <x v="0"/>
    <x v="1"/>
    <x v="1"/>
    <x v="11"/>
    <x v="11"/>
    <s v="OK"/>
    <s v="Unique"/>
    <s v="Ready"/>
    <s v="Daynile - Traffic Offense"/>
  </r>
  <r>
    <s v="CRM00063"/>
    <x v="183"/>
    <x v="4"/>
    <x v="3"/>
    <x v="2"/>
    <x v="1"/>
    <x v="1"/>
    <x v="1"/>
    <x v="0"/>
    <x v="0"/>
    <s v="OK"/>
    <s v="Unique"/>
    <s v="Ready"/>
    <s v="Hodan - Traffic Offense"/>
  </r>
  <r>
    <s v="CRM00062"/>
    <x v="184"/>
    <x v="5"/>
    <x v="1"/>
    <x v="0"/>
    <x v="2"/>
    <x v="1"/>
    <x v="0"/>
    <x v="0"/>
    <x v="0"/>
    <s v="OK"/>
    <s v="Unique"/>
    <s v="Ready"/>
    <s v="Karan - Robbery"/>
  </r>
  <r>
    <s v="CRM00061"/>
    <x v="57"/>
    <x v="2"/>
    <x v="4"/>
    <x v="0"/>
    <x v="0"/>
    <x v="1"/>
    <x v="1"/>
    <x v="6"/>
    <x v="6"/>
    <s v="OK"/>
    <s v="Unique"/>
    <s v="Ready"/>
    <s v="Wadajir - Traffic Offense"/>
  </r>
  <r>
    <s v="CRM00060"/>
    <x v="124"/>
    <x v="5"/>
    <x v="4"/>
    <x v="2"/>
    <x v="3"/>
    <x v="0"/>
    <x v="0"/>
    <x v="3"/>
    <x v="3"/>
    <s v="OK"/>
    <s v="Unique"/>
    <s v="Ready"/>
    <s v="Hodan - Theft"/>
  </r>
  <r>
    <s v="CRM00059"/>
    <x v="185"/>
    <x v="2"/>
    <x v="4"/>
    <x v="1"/>
    <x v="0"/>
    <x v="1"/>
    <x v="1"/>
    <x v="5"/>
    <x v="5"/>
    <s v="Needs Review"/>
    <s v="Unique"/>
    <s v="Review"/>
    <s v="Hodan - Traffic Offense"/>
  </r>
  <r>
    <s v="CRM00058"/>
    <x v="186"/>
    <x v="2"/>
    <x v="1"/>
    <x v="1"/>
    <x v="1"/>
    <x v="1"/>
    <x v="1"/>
    <x v="10"/>
    <x v="10"/>
    <s v="Needs Review"/>
    <s v="Unique"/>
    <s v="Review"/>
    <s v="Hodan - Fraud"/>
  </r>
  <r>
    <s v="CRM00057"/>
    <x v="187"/>
    <x v="3"/>
    <x v="0"/>
    <x v="2"/>
    <x v="3"/>
    <x v="2"/>
    <x v="1"/>
    <x v="3"/>
    <x v="3"/>
    <s v="OK"/>
    <s v="Unique"/>
    <s v="Ready"/>
    <s v="Waberi - Burglary"/>
  </r>
  <r>
    <s v="CRM00055"/>
    <x v="188"/>
    <x v="3"/>
    <x v="0"/>
    <x v="0"/>
    <x v="3"/>
    <x v="2"/>
    <x v="1"/>
    <x v="8"/>
    <x v="8"/>
    <s v="OK"/>
    <s v="Unique"/>
    <s v="Ready"/>
    <s v="Yaqshid - Assault"/>
  </r>
  <r>
    <s v="CRM00054"/>
    <x v="189"/>
    <x v="2"/>
    <x v="5"/>
    <x v="0"/>
    <x v="1"/>
    <x v="2"/>
    <x v="1"/>
    <x v="0"/>
    <x v="0"/>
    <s v="OK"/>
    <s v="Unique"/>
    <s v="Ready"/>
    <s v="Waberi - Assault"/>
  </r>
  <r>
    <s v="CRM00053"/>
    <x v="0"/>
    <x v="1"/>
    <x v="0"/>
    <x v="2"/>
    <x v="1"/>
    <x v="0"/>
    <x v="0"/>
    <x v="0"/>
    <x v="0"/>
    <s v="OK"/>
    <s v="Unique"/>
    <s v="Ready"/>
    <s v="Waberi - Theft"/>
  </r>
  <r>
    <s v="CRM00052"/>
    <x v="190"/>
    <x v="1"/>
    <x v="4"/>
    <x v="2"/>
    <x v="3"/>
    <x v="1"/>
    <x v="1"/>
    <x v="5"/>
    <x v="5"/>
    <s v="OK"/>
    <s v="Unique"/>
    <s v="Ready"/>
    <s v="Hodan - Assault"/>
  </r>
  <r>
    <s v="CRM00051"/>
    <x v="191"/>
    <x v="0"/>
    <x v="2"/>
    <x v="2"/>
    <x v="3"/>
    <x v="0"/>
    <x v="1"/>
    <x v="8"/>
    <x v="8"/>
    <s v="OK"/>
    <s v="Unique"/>
    <s v="Ready"/>
    <s v="Wadajir - Traffic Offense"/>
  </r>
  <r>
    <s v="CRM00050"/>
    <x v="192"/>
    <x v="5"/>
    <x v="3"/>
    <x v="0"/>
    <x v="1"/>
    <x v="1"/>
    <x v="0"/>
    <x v="0"/>
    <x v="0"/>
    <s v="OK"/>
    <s v="Unique"/>
    <s v="Ready"/>
    <s v="Karan - Assault"/>
  </r>
  <r>
    <s v="CRM00049"/>
    <x v="193"/>
    <x v="4"/>
    <x v="3"/>
    <x v="1"/>
    <x v="3"/>
    <x v="1"/>
    <x v="0"/>
    <x v="0"/>
    <x v="0"/>
    <s v="Needs Review"/>
    <s v="Unique"/>
    <s v="Review"/>
    <s v="Yaqshid - Theft"/>
  </r>
  <r>
    <s v="CRM00048"/>
    <x v="0"/>
    <x v="2"/>
    <x v="4"/>
    <x v="2"/>
    <x v="3"/>
    <x v="1"/>
    <x v="0"/>
    <x v="0"/>
    <x v="0"/>
    <s v="OK"/>
    <s v="Unique"/>
    <s v="Ready"/>
    <s v="Hodan - Fraud"/>
  </r>
  <r>
    <s v="CRM00047"/>
    <x v="194"/>
    <x v="0"/>
    <x v="1"/>
    <x v="2"/>
    <x v="3"/>
    <x v="0"/>
    <x v="1"/>
    <x v="2"/>
    <x v="2"/>
    <s v="OK"/>
    <s v="Unique"/>
    <s v="Ready"/>
    <s v="Hodan - Burglary"/>
  </r>
  <r>
    <s v="CRM00046"/>
    <x v="195"/>
    <x v="5"/>
    <x v="4"/>
    <x v="1"/>
    <x v="0"/>
    <x v="1"/>
    <x v="1"/>
    <x v="2"/>
    <x v="2"/>
    <s v="Needs Review"/>
    <s v="Unique"/>
    <s v="Review"/>
    <s v="Wadajir - Theft"/>
  </r>
  <r>
    <s v="CRM00045"/>
    <x v="196"/>
    <x v="1"/>
    <x v="1"/>
    <x v="0"/>
    <x v="1"/>
    <x v="0"/>
    <x v="1"/>
    <x v="8"/>
    <x v="8"/>
    <s v="OK"/>
    <s v="Unique"/>
    <s v="Ready"/>
    <s v="Wadajir - Theft"/>
  </r>
  <r>
    <s v="CRM00044"/>
    <x v="197"/>
    <x v="3"/>
    <x v="4"/>
    <x v="0"/>
    <x v="0"/>
    <x v="2"/>
    <x v="0"/>
    <x v="0"/>
    <x v="0"/>
    <s v="OK"/>
    <s v="Unique"/>
    <s v="Ready"/>
    <s v="Wadajir - Assault"/>
  </r>
  <r>
    <s v="CRM00043"/>
    <x v="198"/>
    <x v="1"/>
    <x v="1"/>
    <x v="2"/>
    <x v="1"/>
    <x v="0"/>
    <x v="1"/>
    <x v="0"/>
    <x v="0"/>
    <s v="OK"/>
    <s v="Unique"/>
    <s v="Ready"/>
    <s v="Yaqshid - Robbery"/>
  </r>
  <r>
    <s v="CRM00042"/>
    <x v="0"/>
    <x v="5"/>
    <x v="1"/>
    <x v="2"/>
    <x v="0"/>
    <x v="1"/>
    <x v="0"/>
    <x v="0"/>
    <x v="0"/>
    <s v="OK"/>
    <s v="Unique"/>
    <s v="Ready"/>
    <s v="Hodan - Robbery"/>
  </r>
  <r>
    <s v="CRM00041"/>
    <x v="199"/>
    <x v="2"/>
    <x v="3"/>
    <x v="2"/>
    <x v="3"/>
    <x v="1"/>
    <x v="0"/>
    <x v="3"/>
    <x v="3"/>
    <s v="OK"/>
    <s v="Unique"/>
    <s v="Ready"/>
    <s v="Wadajir - Fraud"/>
  </r>
  <r>
    <s v="CRM00040"/>
    <x v="200"/>
    <x v="2"/>
    <x v="5"/>
    <x v="0"/>
    <x v="3"/>
    <x v="1"/>
    <x v="1"/>
    <x v="1"/>
    <x v="1"/>
    <s v="OK"/>
    <s v="Unique"/>
    <s v="Ready"/>
    <s v="Yaqshid - Burglary"/>
  </r>
  <r>
    <s v="CRM00039"/>
    <x v="201"/>
    <x v="5"/>
    <x v="1"/>
    <x v="0"/>
    <x v="3"/>
    <x v="1"/>
    <x v="0"/>
    <x v="0"/>
    <x v="0"/>
    <s v="OK"/>
    <s v="Unique"/>
    <s v="Ready"/>
    <s v="Wadajir - Assault"/>
  </r>
  <r>
    <s v="CRM00038"/>
    <x v="202"/>
    <x v="2"/>
    <x v="1"/>
    <x v="0"/>
    <x v="1"/>
    <x v="1"/>
    <x v="0"/>
    <x v="6"/>
    <x v="6"/>
    <s v="OK"/>
    <s v="Unique"/>
    <s v="Ready"/>
    <s v="Daynile - Fraud"/>
  </r>
  <r>
    <s v="CRM00037"/>
    <x v="0"/>
    <x v="3"/>
    <x v="0"/>
    <x v="0"/>
    <x v="0"/>
    <x v="2"/>
    <x v="0"/>
    <x v="0"/>
    <x v="0"/>
    <s v="OK"/>
    <s v="Unique"/>
    <s v="Ready"/>
    <s v="Daynile - Theft"/>
  </r>
  <r>
    <s v="CRM00036"/>
    <x v="0"/>
    <x v="1"/>
    <x v="1"/>
    <x v="0"/>
    <x v="0"/>
    <x v="0"/>
    <x v="0"/>
    <x v="0"/>
    <x v="0"/>
    <s v="OK"/>
    <s v="Unique"/>
    <s v="Ready"/>
    <s v="Yaqshid - Theft"/>
  </r>
  <r>
    <s v="CRM00035"/>
    <x v="200"/>
    <x v="3"/>
    <x v="5"/>
    <x v="0"/>
    <x v="3"/>
    <x v="2"/>
    <x v="1"/>
    <x v="1"/>
    <x v="1"/>
    <s v="OK"/>
    <s v="Unique"/>
    <s v="Ready"/>
    <s v="Yaqshid - Fraud"/>
  </r>
  <r>
    <s v="CRM00034"/>
    <x v="125"/>
    <x v="5"/>
    <x v="1"/>
    <x v="0"/>
    <x v="3"/>
    <x v="1"/>
    <x v="0"/>
    <x v="6"/>
    <x v="6"/>
    <s v="OK"/>
    <s v="Unique"/>
    <s v="Ready"/>
    <s v="Hodan - Theft"/>
  </r>
  <r>
    <s v="CRM00033"/>
    <x v="203"/>
    <x v="1"/>
    <x v="4"/>
    <x v="2"/>
    <x v="3"/>
    <x v="0"/>
    <x v="0"/>
    <x v="5"/>
    <x v="5"/>
    <s v="OK"/>
    <s v="Unique"/>
    <s v="Ready"/>
    <s v="Karan - Theft"/>
  </r>
  <r>
    <s v="CRM00032"/>
    <x v="204"/>
    <x v="5"/>
    <x v="4"/>
    <x v="0"/>
    <x v="0"/>
    <x v="1"/>
    <x v="1"/>
    <x v="11"/>
    <x v="11"/>
    <s v="OK"/>
    <s v="Unique"/>
    <s v="Ready"/>
    <s v="Karan - Traffic Offense"/>
  </r>
  <r>
    <s v="CRM00031"/>
    <x v="120"/>
    <x v="5"/>
    <x v="1"/>
    <x v="1"/>
    <x v="0"/>
    <x v="1"/>
    <x v="1"/>
    <x v="5"/>
    <x v="5"/>
    <s v="Needs Review"/>
    <s v="Unique"/>
    <s v="Review"/>
    <s v="Yaqshid - Traffic Offense"/>
  </r>
  <r>
    <s v="CRM00029"/>
    <x v="205"/>
    <x v="5"/>
    <x v="3"/>
    <x v="0"/>
    <x v="2"/>
    <x v="1"/>
    <x v="1"/>
    <x v="11"/>
    <x v="11"/>
    <s v="OK"/>
    <s v="Unique"/>
    <s v="Ready"/>
    <s v="Wadajir - Fraud"/>
  </r>
  <r>
    <s v="CRM00028"/>
    <x v="206"/>
    <x v="5"/>
    <x v="3"/>
    <x v="0"/>
    <x v="3"/>
    <x v="1"/>
    <x v="1"/>
    <x v="5"/>
    <x v="5"/>
    <s v="OK"/>
    <s v="Unique"/>
    <s v="Ready"/>
    <s v="Daynile - Traffic Offense"/>
  </r>
  <r>
    <s v="CRM00027"/>
    <x v="207"/>
    <x v="0"/>
    <x v="1"/>
    <x v="0"/>
    <x v="3"/>
    <x v="0"/>
    <x v="1"/>
    <x v="10"/>
    <x v="10"/>
    <s v="OK"/>
    <s v="Unique"/>
    <s v="Ready"/>
    <s v="Wadajir - Robbery"/>
  </r>
  <r>
    <s v="CRM00026"/>
    <x v="208"/>
    <x v="2"/>
    <x v="1"/>
    <x v="0"/>
    <x v="1"/>
    <x v="1"/>
    <x v="1"/>
    <x v="4"/>
    <x v="4"/>
    <s v="OK"/>
    <s v="Unique"/>
    <s v="Ready"/>
    <s v="Daynile - Assault"/>
  </r>
  <r>
    <s v="CRM00025"/>
    <x v="209"/>
    <x v="0"/>
    <x v="1"/>
    <x v="0"/>
    <x v="1"/>
    <x v="0"/>
    <x v="1"/>
    <x v="6"/>
    <x v="6"/>
    <s v="OK"/>
    <s v="Unique"/>
    <s v="Ready"/>
    <s v="Yaqshid - Assault"/>
  </r>
  <r>
    <s v="CRM00024"/>
    <x v="199"/>
    <x v="1"/>
    <x v="0"/>
    <x v="2"/>
    <x v="3"/>
    <x v="0"/>
    <x v="0"/>
    <x v="3"/>
    <x v="3"/>
    <s v="OK"/>
    <s v="Unique"/>
    <s v="Ready"/>
    <s v="Yaqshid - Fraud"/>
  </r>
  <r>
    <s v="CRM00023"/>
    <x v="210"/>
    <x v="1"/>
    <x v="4"/>
    <x v="0"/>
    <x v="1"/>
    <x v="0"/>
    <x v="1"/>
    <x v="5"/>
    <x v="5"/>
    <s v="OK"/>
    <s v="Unique"/>
    <s v="Ready"/>
    <s v="Wadajir - Assault"/>
  </r>
  <r>
    <s v="CRM00022"/>
    <x v="211"/>
    <x v="3"/>
    <x v="0"/>
    <x v="0"/>
    <x v="2"/>
    <x v="2"/>
    <x v="0"/>
    <x v="1"/>
    <x v="1"/>
    <s v="OK"/>
    <s v="Unique"/>
    <s v="Ready"/>
    <s v="Yaqshid - Fraud"/>
  </r>
  <r>
    <s v="CRM00021"/>
    <x v="212"/>
    <x v="3"/>
    <x v="2"/>
    <x v="0"/>
    <x v="1"/>
    <x v="2"/>
    <x v="1"/>
    <x v="9"/>
    <x v="9"/>
    <s v="OK"/>
    <s v="Unique"/>
    <s v="Ready"/>
    <s v="Yaqshid - Burglary"/>
  </r>
  <r>
    <s v="CRM00020"/>
    <x v="213"/>
    <x v="0"/>
    <x v="1"/>
    <x v="0"/>
    <x v="0"/>
    <x v="0"/>
    <x v="0"/>
    <x v="10"/>
    <x v="10"/>
    <s v="OK"/>
    <s v="Unique"/>
    <s v="Ready"/>
    <s v="Waberi - Traffic Offense"/>
  </r>
  <r>
    <s v="CRM00019"/>
    <x v="214"/>
    <x v="5"/>
    <x v="3"/>
    <x v="0"/>
    <x v="2"/>
    <x v="1"/>
    <x v="0"/>
    <x v="10"/>
    <x v="10"/>
    <s v="OK"/>
    <s v="Unique"/>
    <s v="Ready"/>
    <s v="Karan - Traffic Offense"/>
  </r>
  <r>
    <s v="CRM00018"/>
    <x v="215"/>
    <x v="1"/>
    <x v="3"/>
    <x v="0"/>
    <x v="3"/>
    <x v="0"/>
    <x v="1"/>
    <x v="1"/>
    <x v="1"/>
    <s v="OK"/>
    <s v="Unique"/>
    <s v="Ready"/>
    <s v="Wadajir - Theft"/>
  </r>
  <r>
    <s v="CRM00017"/>
    <x v="216"/>
    <x v="2"/>
    <x v="0"/>
    <x v="0"/>
    <x v="3"/>
    <x v="1"/>
    <x v="1"/>
    <x v="7"/>
    <x v="7"/>
    <s v="OK"/>
    <s v="Unique"/>
    <s v="Ready"/>
    <s v="Wadajir - Robbery"/>
  </r>
  <r>
    <s v="CRM00016"/>
    <x v="208"/>
    <x v="1"/>
    <x v="0"/>
    <x v="0"/>
    <x v="3"/>
    <x v="0"/>
    <x v="1"/>
    <x v="4"/>
    <x v="4"/>
    <s v="OK"/>
    <s v="Unique"/>
    <s v="Ready"/>
    <s v="Waberi - Traffic Offense"/>
  </r>
  <r>
    <s v="CRM00015"/>
    <x v="217"/>
    <x v="5"/>
    <x v="3"/>
    <x v="0"/>
    <x v="0"/>
    <x v="1"/>
    <x v="1"/>
    <x v="0"/>
    <x v="0"/>
    <s v="OK"/>
    <s v="Unique"/>
    <s v="Ready"/>
    <s v="Yaqshid - Theft"/>
  </r>
  <r>
    <s v="CRM00014"/>
    <x v="218"/>
    <x v="0"/>
    <x v="3"/>
    <x v="1"/>
    <x v="1"/>
    <x v="0"/>
    <x v="0"/>
    <x v="1"/>
    <x v="1"/>
    <s v="Needs Review"/>
    <s v="Unique"/>
    <s v="Review"/>
    <s v="Wadajir - Robbery"/>
  </r>
  <r>
    <s v="CRM00013"/>
    <x v="98"/>
    <x v="2"/>
    <x v="2"/>
    <x v="2"/>
    <x v="2"/>
    <x v="1"/>
    <x v="1"/>
    <x v="8"/>
    <x v="8"/>
    <s v="OK"/>
    <s v="Unique"/>
    <s v="Ready"/>
    <s v="Hodan - Traffic Offense"/>
  </r>
  <r>
    <s v="CRM00012"/>
    <x v="219"/>
    <x v="5"/>
    <x v="2"/>
    <x v="2"/>
    <x v="0"/>
    <x v="1"/>
    <x v="1"/>
    <x v="11"/>
    <x v="11"/>
    <s v="OK"/>
    <s v="Unique"/>
    <s v="Ready"/>
    <s v="Yaqshid - Fraud"/>
  </r>
  <r>
    <s v="CRM00011"/>
    <x v="220"/>
    <x v="1"/>
    <x v="0"/>
    <x v="1"/>
    <x v="0"/>
    <x v="0"/>
    <x v="0"/>
    <x v="0"/>
    <x v="0"/>
    <s v="Needs Review"/>
    <s v="Unique"/>
    <s v="Review"/>
    <s v="Wadajir - Assault"/>
  </r>
  <r>
    <s v="CRM00010"/>
    <x v="221"/>
    <x v="0"/>
    <x v="1"/>
    <x v="0"/>
    <x v="3"/>
    <x v="0"/>
    <x v="1"/>
    <x v="9"/>
    <x v="9"/>
    <s v="OK"/>
    <s v="Unique"/>
    <s v="Ready"/>
    <s v="Hodan - Burglary"/>
  </r>
  <r>
    <s v="CRM00009"/>
    <x v="222"/>
    <x v="5"/>
    <x v="1"/>
    <x v="2"/>
    <x v="0"/>
    <x v="1"/>
    <x v="0"/>
    <x v="0"/>
    <x v="0"/>
    <s v="OK"/>
    <s v="Unique"/>
    <s v="Ready"/>
    <s v="Yaqshid - Robbery"/>
  </r>
  <r>
    <s v="CRM00008"/>
    <x v="150"/>
    <x v="2"/>
    <x v="1"/>
    <x v="1"/>
    <x v="3"/>
    <x v="1"/>
    <x v="1"/>
    <x v="6"/>
    <x v="6"/>
    <s v="Needs Review"/>
    <s v="Unique"/>
    <s v="Review"/>
    <s v="Hodan - Theft"/>
  </r>
  <r>
    <s v="CRM00007"/>
    <x v="223"/>
    <x v="5"/>
    <x v="3"/>
    <x v="2"/>
    <x v="1"/>
    <x v="1"/>
    <x v="1"/>
    <x v="0"/>
    <x v="0"/>
    <s v="OK"/>
    <s v="Unique"/>
    <s v="Ready"/>
    <s v="Daynile - Fraud"/>
  </r>
  <r>
    <s v="CRM00006"/>
    <x v="181"/>
    <x v="2"/>
    <x v="0"/>
    <x v="2"/>
    <x v="0"/>
    <x v="1"/>
    <x v="1"/>
    <x v="9"/>
    <x v="9"/>
    <s v="OK"/>
    <s v="Unique"/>
    <s v="Ready"/>
    <s v="Yaqshid - Fraud"/>
  </r>
  <r>
    <s v="CRM00005"/>
    <x v="224"/>
    <x v="0"/>
    <x v="1"/>
    <x v="0"/>
    <x v="0"/>
    <x v="0"/>
    <x v="1"/>
    <x v="8"/>
    <x v="8"/>
    <s v="OK"/>
    <s v="Unique"/>
    <s v="Ready"/>
    <s v="Hodan - Robbery"/>
  </r>
  <r>
    <s v="CRM00004"/>
    <x v="225"/>
    <x v="2"/>
    <x v="5"/>
    <x v="0"/>
    <x v="0"/>
    <x v="1"/>
    <x v="0"/>
    <x v="0"/>
    <x v="0"/>
    <s v="OK"/>
    <s v="Unique"/>
    <s v="Ready"/>
    <s v="Hodan - Fraud"/>
  </r>
  <r>
    <s v="CRM00003"/>
    <x v="226"/>
    <x v="4"/>
    <x v="0"/>
    <x v="0"/>
    <x v="0"/>
    <x v="1"/>
    <x v="1"/>
    <x v="4"/>
    <x v="4"/>
    <s v="OK"/>
    <s v="Unique"/>
    <s v="Ready"/>
    <s v="Hodan - Traffic Offense"/>
  </r>
  <r>
    <s v="CRM00002"/>
    <x v="216"/>
    <x v="0"/>
    <x v="4"/>
    <x v="2"/>
    <x v="0"/>
    <x v="0"/>
    <x v="1"/>
    <x v="7"/>
    <x v="7"/>
    <s v="OK"/>
    <s v="Unique"/>
    <s v="Ready"/>
    <s v="Wadajir - Theft"/>
  </r>
  <r>
    <s v="CRM00001"/>
    <x v="198"/>
    <x v="5"/>
    <x v="1"/>
    <x v="0"/>
    <x v="3"/>
    <x v="1"/>
    <x v="1"/>
    <x v="0"/>
    <x v="0"/>
    <s v="OK"/>
    <s v="Unique"/>
    <s v="Ready"/>
    <s v="Hodan - Theft"/>
  </r>
  <r>
    <m/>
    <x v="227"/>
    <x v="3"/>
    <x v="1"/>
    <x v="2"/>
    <x v="0"/>
    <x v="0"/>
    <x v="2"/>
    <x v="12"/>
    <x v="12"/>
    <s v="Needs Review"/>
    <s v="Unique"/>
    <s v="Review"/>
    <s v="Hodan - Traffic Offense"/>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s v="CRM001"/>
    <d v="2026-07-12T00:00:00"/>
    <s v="Assault"/>
    <s v="Waberi"/>
    <x v="0"/>
    <s v="Open"/>
    <s v="High"/>
    <n v="2026"/>
    <n v="7"/>
    <s v="July"/>
    <s v="OK"/>
    <s v="Unique"/>
    <s v="Ready"/>
    <s v="Hodan - Traffic Offense"/>
  </r>
  <r>
    <s v="CRM002"/>
    <d v="2025-06-14T00:00:00"/>
    <s v="Robbery"/>
    <s v="Hodan"/>
    <x v="1"/>
    <s v="Closed"/>
    <s v="High"/>
    <n v="2025"/>
    <n v="6"/>
    <s v="June"/>
    <s v="Needs Review"/>
    <s v="Unique"/>
    <s v="Review"/>
    <s v="Karan - Assault"/>
  </r>
  <r>
    <s v="CRM003"/>
    <d v="2025-12-26T00:00:00"/>
    <s v="Robbery"/>
    <s v="Daynile"/>
    <x v="0"/>
    <s v="Open"/>
    <s v="High"/>
    <n v="2025"/>
    <n v="12"/>
    <s v="December"/>
    <s v="OK"/>
    <s v="Unique"/>
    <s v="Ready"/>
    <s v="Hodan - Burglary"/>
  </r>
  <r>
    <s v="CRM004"/>
    <d v="2025-06-24T00:00:00"/>
    <s v="Assault"/>
    <s v="Yaqshid"/>
    <x v="2"/>
    <s v="Referred"/>
    <s v="High"/>
    <n v="2025"/>
    <n v="6"/>
    <s v="June"/>
    <s v="OK"/>
    <s v="Unique"/>
    <s v="Ready"/>
    <s v="Hodan - Fraud"/>
  </r>
  <r>
    <s v="CRM005"/>
    <d v="2026-01-23T00:00:00"/>
    <s v="Assault"/>
    <s v="Daynile"/>
    <x v="0"/>
    <s v="Under Investigation"/>
    <s v="High"/>
    <n v="2026"/>
    <n v="1"/>
    <s v="January"/>
    <s v="OK"/>
    <s v="Unique"/>
    <s v="Ready"/>
    <s v="Wadajir - Assault"/>
  </r>
  <r>
    <s v="CRM006"/>
    <d v="2026-01-17T00:00:00"/>
    <s v="Robbery"/>
    <s v="Daynile"/>
    <x v="0"/>
    <s v="Closed"/>
    <s v="High"/>
    <n v="2026"/>
    <n v="1"/>
    <s v="January"/>
    <s v="OK"/>
    <s v="Unique"/>
    <s v="Ready"/>
    <s v="Hodan - Assault"/>
  </r>
  <r>
    <s v="CRM007"/>
    <d v="2026-05-17T00:00:00"/>
    <s v="Theft"/>
    <s v="Wadajir"/>
    <x v="0"/>
    <s v="Under Investigation"/>
    <s v="Medium"/>
    <n v="2026"/>
    <n v="5"/>
    <s v="May"/>
    <s v="OK"/>
    <s v="Unique"/>
    <s v="Ready"/>
    <s v="Yaqshid - Theft"/>
  </r>
  <r>
    <s v="CRM008"/>
    <d v="2025-07-12T00:00:00"/>
    <s v="Traffic Offense"/>
    <s v="Daynile"/>
    <x v="2"/>
    <s v="Closed"/>
    <s v="Low"/>
    <n v="2025"/>
    <n v="7"/>
    <s v="July"/>
    <s v="OK"/>
    <s v="Unique"/>
    <s v="Ready"/>
    <s v="Yaqshid - Fraud"/>
  </r>
  <r>
    <s v="CRM009"/>
    <d v="2026-07-01T00:00:00"/>
    <s v="Theft"/>
    <s v="Wadajir"/>
    <x v="0"/>
    <s v="Open"/>
    <s v="Medium"/>
    <n v="2026"/>
    <n v="7"/>
    <s v="July"/>
    <s v="OK"/>
    <s v="Unique"/>
    <s v="Ready"/>
    <s v="Waberi - Robbery"/>
  </r>
  <r>
    <s v="CRM010"/>
    <d v="2026-02-10T00:00:00"/>
    <s v="Robbery"/>
    <s v="Daynile"/>
    <x v="2"/>
    <s v="Under Investigation"/>
    <s v="High"/>
    <n v="2026"/>
    <n v="2"/>
    <s v="February"/>
    <s v="OK"/>
    <s v="Unique"/>
    <s v="Ready"/>
    <s v="Hodan - Theft"/>
  </r>
  <r>
    <s v="CRM011"/>
    <d v="2025-04-01T00:00:00"/>
    <s v="Burglary"/>
    <s v="Waberi"/>
    <x v="2"/>
    <s v="Under Investigation"/>
    <s v="Medium"/>
    <n v="2025"/>
    <n v="4"/>
    <s v="April"/>
    <s v="OK"/>
    <s v="Unique"/>
    <s v="Ready"/>
    <s v="Daynile - Traffic Offense"/>
  </r>
  <r>
    <s v="CRM012"/>
    <d v="2026-05-19T00:00:00"/>
    <s v="Traffic Offense"/>
    <s v="Hodan"/>
    <x v="2"/>
    <s v="Open"/>
    <s v="Low"/>
    <n v="2026"/>
    <n v="5"/>
    <s v="May"/>
    <s v="OK"/>
    <s v="Unique"/>
    <s v="Ready"/>
    <s v="Waberi - Robbery"/>
  </r>
  <r>
    <s v="CRM013"/>
    <d v="2026-01-28T00:00:00"/>
    <s v="Theft"/>
    <s v="Wadajir"/>
    <x v="0"/>
    <s v="Closed"/>
    <s v="Medium"/>
    <n v="2026"/>
    <n v="1"/>
    <s v="January"/>
    <s v="OK"/>
    <s v="Unique"/>
    <s v="Ready"/>
    <s v="Hodan - Assault"/>
  </r>
  <r>
    <s v="CRM014"/>
    <d v="2025-10-21T00:00:00"/>
    <s v="Fraud"/>
    <s v="Karan"/>
    <x v="0"/>
    <s v="Open"/>
    <s v="Medium"/>
    <n v="2025"/>
    <n v="10"/>
    <s v="October"/>
    <s v="OK"/>
    <s v="Unique"/>
    <s v="Ready"/>
    <s v="Daynile - Traffic Offense"/>
  </r>
  <r>
    <s v="CRM015"/>
    <d v="2025-12-01T00:00:00"/>
    <s v="Fraud"/>
    <s v="Yaqshid"/>
    <x v="0"/>
    <s v="Closed"/>
    <s v="Medium"/>
    <n v="2025"/>
    <n v="12"/>
    <s v="December"/>
    <s v="OK"/>
    <s v="Unique"/>
    <s v="Ready"/>
    <s v="Yaqshid - Fraud"/>
  </r>
  <r>
    <s v="CRM00292"/>
    <d v="2025-09-12T00:00:00"/>
    <s v="Robbery"/>
    <s v="Wadajir"/>
    <x v="0"/>
    <s v="Closed"/>
    <s v="High"/>
    <n v="2025"/>
    <n v="9"/>
    <s v="September"/>
    <s v="OK"/>
    <s v="Unique"/>
    <s v="Ready"/>
    <s v="Hodan - Assault"/>
  </r>
  <r>
    <s v="CRM00291"/>
    <d v="2026-06-03T00:00:00"/>
    <s v="Theft"/>
    <s v="Waberi"/>
    <x v="0"/>
    <s v="Under Investigation"/>
    <s v="Medium"/>
    <n v="2026"/>
    <n v="6"/>
    <s v="June"/>
    <s v="OK"/>
    <s v="Unique"/>
    <s v="Ready"/>
    <s v="Yaqshid - Theft"/>
  </r>
  <r>
    <s v="CRM00290"/>
    <d v="2025-02-26T00:00:00"/>
    <s v="Burglary"/>
    <s v="Hodan"/>
    <x v="0"/>
    <s v="Closed"/>
    <s v="Medium"/>
    <n v="2025"/>
    <n v="2"/>
    <s v="February"/>
    <s v="OK"/>
    <s v="Unique"/>
    <s v="Ready"/>
    <s v="Hodan - Robbery"/>
  </r>
  <r>
    <s v="CRM00289"/>
    <d v="2026-02-06T00:00:00"/>
    <s v="Fraud"/>
    <s v="Wadajir"/>
    <x v="0"/>
    <s v="Open"/>
    <s v="Medium"/>
    <n v="2026"/>
    <n v="2"/>
    <s v="February"/>
    <s v="OK"/>
    <s v="Unique"/>
    <s v="Ready"/>
    <s v="Karan - Theft"/>
  </r>
  <r>
    <s v="CRM00288"/>
    <d v="2025-11-22T00:00:00"/>
    <s v="Fraud"/>
    <s v="Karan"/>
    <x v="2"/>
    <s v="Closed"/>
    <s v="Medium"/>
    <n v="2025"/>
    <n v="11"/>
    <s v="November"/>
    <s v="OK"/>
    <s v="Unique"/>
    <s v="Ready"/>
    <s v="Wadajir - Burglary"/>
  </r>
  <r>
    <s v="CRM00287"/>
    <d v="2025-03-20T00:00:00"/>
    <s v="Robbery"/>
    <s v="Daynile"/>
    <x v="2"/>
    <s v="Under Investigation"/>
    <s v="High"/>
    <n v="2025"/>
    <n v="3"/>
    <s v="March"/>
    <s v="OK"/>
    <s v="Unique"/>
    <s v="Ready"/>
    <s v="Karan - Theft"/>
  </r>
  <r>
    <s v="CRM00286"/>
    <d v="2025-01-23T00:00:00"/>
    <s v="Fraud"/>
    <s v="Wadajir"/>
    <x v="1"/>
    <s v="Closed"/>
    <s v="Medium"/>
    <n v="2025"/>
    <n v="1"/>
    <s v="January"/>
    <s v="Needs Review"/>
    <s v="Unique"/>
    <s v="Review"/>
    <s v="Karan - Theft"/>
  </r>
  <r>
    <s v="CRM00285"/>
    <d v="2025-08-13T00:00:00"/>
    <s v="Assault"/>
    <s v="Daynile"/>
    <x v="1"/>
    <s v="Closed"/>
    <s v="High"/>
    <n v="2025"/>
    <n v="8"/>
    <s v="August"/>
    <s v="Needs Review"/>
    <s v="Unique"/>
    <s v="Review"/>
    <s v="Yaqshid - Theft"/>
  </r>
  <r>
    <s v="CRM00284"/>
    <d v="2025-10-03T00:00:00"/>
    <s v="Robbery"/>
    <s v="Yaqshid"/>
    <x v="1"/>
    <s v="Under Investigation"/>
    <s v="High"/>
    <n v="2025"/>
    <n v="10"/>
    <s v="October"/>
    <s v="Needs Review"/>
    <s v="Unique"/>
    <s v="Review"/>
    <s v="Waberi - Assault"/>
  </r>
  <r>
    <s v="CRM00283"/>
    <d v="2025-10-15T00:00:00"/>
    <s v="Traffic Offense"/>
    <s v="Daynile"/>
    <x v="0"/>
    <s v="Closed"/>
    <s v="Low"/>
    <n v="2025"/>
    <n v="10"/>
    <s v="October"/>
    <s v="OK"/>
    <s v="Unique"/>
    <s v="Ready"/>
    <s v="Yaqshid - Theft"/>
  </r>
  <r>
    <s v="CRM00282"/>
    <d v="2025-06-17T00:00:00"/>
    <s v="Assault"/>
    <s v="Hodan"/>
    <x v="0"/>
    <s v="Open"/>
    <s v="High"/>
    <n v="2025"/>
    <n v="6"/>
    <s v="June"/>
    <s v="OK"/>
    <s v="Unique"/>
    <s v="Ready"/>
    <s v="Daynile - Assault"/>
  </r>
  <r>
    <s v="CRM00281"/>
    <d v="2025-09-15T00:00:00"/>
    <s v="Burglary"/>
    <s v="Yaqshid"/>
    <x v="0"/>
    <s v="Under Investigation"/>
    <s v="Medium"/>
    <n v="2025"/>
    <n v="9"/>
    <s v="September"/>
    <s v="OK"/>
    <s v="Unique"/>
    <s v="Ready"/>
    <s v="Waberi - Assault"/>
  </r>
  <r>
    <s v="CRM00280"/>
    <d v="2025-07-06T00:00:00"/>
    <s v="Theft"/>
    <s v="Wadajir"/>
    <x v="2"/>
    <s v="Closed"/>
    <s v="Medium"/>
    <n v="2025"/>
    <n v="7"/>
    <s v="July"/>
    <s v="OK"/>
    <s v="Unique"/>
    <s v="Ready"/>
    <s v="Daynile - Theft"/>
  </r>
  <r>
    <s v="CRM00279"/>
    <d v="2025-12-14T00:00:00"/>
    <s v="Burglary"/>
    <s v="Karan"/>
    <x v="0"/>
    <s v="Under Investigation"/>
    <s v="Medium"/>
    <n v="2025"/>
    <n v="12"/>
    <s v="December"/>
    <s v="OK"/>
    <s v="Unique"/>
    <s v="Ready"/>
    <s v="Hodan - Theft"/>
  </r>
  <r>
    <s v="CRM00278"/>
    <d v="2026-07-12T00:00:00"/>
    <s v="Robbery"/>
    <s v="Daynile"/>
    <x v="0"/>
    <s v="Closed"/>
    <s v="High"/>
    <n v="2026"/>
    <n v="7"/>
    <s v="July"/>
    <s v="OK"/>
    <s v="Unique"/>
    <s v="Ready"/>
    <s v="Hodan - Assault"/>
  </r>
  <r>
    <s v="CRM00277"/>
    <d v="2026-07-12T00:00:00"/>
    <s v="Theft"/>
    <s v="Yaqshid"/>
    <x v="0"/>
    <s v="Closed"/>
    <s v="Medium"/>
    <n v="2026"/>
    <n v="7"/>
    <s v="July"/>
    <s v="OK"/>
    <s v="Unique"/>
    <s v="Ready"/>
    <s v="Waberi - Robbery"/>
  </r>
  <r>
    <s v="CRM00276"/>
    <d v="2026-01-15T00:00:00"/>
    <s v="Theft"/>
    <s v="Hodan"/>
    <x v="0"/>
    <s v="Under Investigation"/>
    <s v="Medium"/>
    <n v="2026"/>
    <n v="1"/>
    <s v="January"/>
    <s v="OK"/>
    <s v="Unique"/>
    <s v="Ready"/>
    <s v="Karan - Robbery"/>
  </r>
  <r>
    <s v="CRM00275"/>
    <d v="2026-05-20T00:00:00"/>
    <s v="Theft"/>
    <s v="Daynile"/>
    <x v="0"/>
    <s v="Closed"/>
    <s v="Medium"/>
    <n v="2026"/>
    <n v="5"/>
    <s v="May"/>
    <s v="OK"/>
    <s v="Unique"/>
    <s v="Ready"/>
    <s v="Daynile - Theft"/>
  </r>
  <r>
    <s v="CRM00274"/>
    <d v="2025-08-08T00:00:00"/>
    <s v="Theft"/>
    <s v="Hodan"/>
    <x v="0"/>
    <s v="Closed"/>
    <s v="Medium"/>
    <n v="2025"/>
    <n v="8"/>
    <s v="August"/>
    <s v="OK"/>
    <s v="Unique"/>
    <s v="Ready"/>
    <s v="Wadajir - Assault"/>
  </r>
  <r>
    <s v="CRM00273"/>
    <d v="2025-09-15T00:00:00"/>
    <s v="Theft"/>
    <s v="Karan"/>
    <x v="0"/>
    <s v="Open"/>
    <s v="Medium"/>
    <n v="2025"/>
    <n v="9"/>
    <s v="September"/>
    <s v="OK"/>
    <s v="Unique"/>
    <s v="Ready"/>
    <s v="Karan - Assault"/>
  </r>
  <r>
    <s v="CRM00272"/>
    <d v="2026-04-08T00:00:00"/>
    <s v="Assault"/>
    <s v="Hodan"/>
    <x v="1"/>
    <s v="Closed"/>
    <s v="Low"/>
    <n v="2026"/>
    <n v="4"/>
    <s v="April"/>
    <s v="Needs Review"/>
    <s v="Unique"/>
    <s v="Review"/>
    <s v="Karan - Theft"/>
  </r>
  <r>
    <s v="CRM00271"/>
    <d v="2026-07-12T00:00:00"/>
    <s v="Assault"/>
    <s v="Karan"/>
    <x v="0"/>
    <s v="Closed"/>
    <s v="High"/>
    <n v="2026"/>
    <n v="7"/>
    <s v="July"/>
    <s v="OK"/>
    <s v="Unique"/>
    <s v="Ready"/>
    <s v="Hodan - Assault"/>
  </r>
  <r>
    <s v="CRM00270"/>
    <d v="2026-02-05T00:00:00"/>
    <s v="Theft"/>
    <s v="Wadajir"/>
    <x v="2"/>
    <s v="Closed"/>
    <s v="Medium"/>
    <n v="2026"/>
    <n v="2"/>
    <s v="February"/>
    <s v="OK"/>
    <s v="Unique"/>
    <s v="Ready"/>
    <s v="Hodan - Assault"/>
  </r>
  <r>
    <s v="CRM00269"/>
    <d v="2025-10-20T00:00:00"/>
    <s v="Robbery"/>
    <s v="Wadajir"/>
    <x v="0"/>
    <s v="Closed"/>
    <s v="High"/>
    <n v="2025"/>
    <n v="10"/>
    <s v="October"/>
    <s v="OK"/>
    <s v="Unique"/>
    <s v="Ready"/>
    <s v="Waberi - Theft"/>
  </r>
  <r>
    <s v="CRM00268"/>
    <d v="2026-01-21T00:00:00"/>
    <s v="Assault"/>
    <s v="Karan"/>
    <x v="0"/>
    <s v="Referred"/>
    <s v="High"/>
    <n v="2026"/>
    <n v="1"/>
    <s v="January"/>
    <s v="OK"/>
    <s v="Unique"/>
    <s v="Ready"/>
    <s v="Hodan - Theft"/>
  </r>
  <r>
    <s v="CRM00267"/>
    <d v="2026-07-12T00:00:00"/>
    <s v="Assault"/>
    <s v="Hodan"/>
    <x v="1"/>
    <s v="Under Investigation"/>
    <s v="High"/>
    <n v="2026"/>
    <n v="7"/>
    <s v="July"/>
    <s v="Needs Review"/>
    <s v="Unique"/>
    <s v="Review"/>
    <s v="Wadajir - Theft"/>
  </r>
  <r>
    <s v="CRM00266"/>
    <d v="2025-05-04T00:00:00"/>
    <s v="Fraud"/>
    <s v="Hodan"/>
    <x v="0"/>
    <s v="Closed"/>
    <s v="Medium"/>
    <n v="2025"/>
    <n v="5"/>
    <s v="May"/>
    <s v="OK"/>
    <s v="Unique"/>
    <s v="Ready"/>
    <s v="Hodan - Assault"/>
  </r>
  <r>
    <s v="CRM00265"/>
    <d v="2025-02-17T00:00:00"/>
    <s v="Fraud"/>
    <s v="Wadajir"/>
    <x v="0"/>
    <s v="Under Investigation"/>
    <s v="Medium"/>
    <n v="2025"/>
    <n v="2"/>
    <s v="February"/>
    <s v="OK"/>
    <s v="Unique"/>
    <s v="Ready"/>
    <s v="Daynile - Robbery"/>
  </r>
  <r>
    <s v="CRM00264"/>
    <d v="2025-04-28T00:00:00"/>
    <s v="Burglary"/>
    <s v="Hodan"/>
    <x v="0"/>
    <s v="Closed"/>
    <s v="Medium"/>
    <n v="2025"/>
    <n v="4"/>
    <s v="April"/>
    <s v="OK"/>
    <s v="Unique"/>
    <s v="Ready"/>
    <s v="Karan - Burglary"/>
  </r>
  <r>
    <s v="CRM00263"/>
    <d v="2025-01-07T00:00:00"/>
    <s v="Burglary"/>
    <s v="Hodan"/>
    <x v="2"/>
    <s v="Open"/>
    <s v="Medium"/>
    <n v="2025"/>
    <n v="1"/>
    <s v="January"/>
    <s v="OK"/>
    <s v="Unique"/>
    <s v="Ready"/>
    <s v="Karan - Traffic Offense"/>
  </r>
  <r>
    <s v="CRM00262"/>
    <d v="2026-01-20T00:00:00"/>
    <s v="Assault"/>
    <s v="Wadajir"/>
    <x v="2"/>
    <s v="Closed"/>
    <s v="Medium"/>
    <n v="2026"/>
    <n v="1"/>
    <s v="January"/>
    <s v="OK"/>
    <s v="Unique"/>
    <s v="Ready"/>
    <s v="Hodan - Burglary"/>
  </r>
  <r>
    <s v="CRM00261"/>
    <d v="2025-02-27T00:00:00"/>
    <s v="Theft"/>
    <s v="Yaqshid"/>
    <x v="0"/>
    <s v="Referred"/>
    <s v="Medium"/>
    <n v="2025"/>
    <n v="2"/>
    <s v="February"/>
    <s v="OK"/>
    <s v="Unique"/>
    <s v="Ready"/>
    <s v="Hodan - Fraud"/>
  </r>
  <r>
    <s v="CRM00260"/>
    <d v="2025-08-02T00:00:00"/>
    <s v="Theft"/>
    <s v="Waberi"/>
    <x v="0"/>
    <s v="Open"/>
    <s v="Medium"/>
    <n v="2025"/>
    <n v="8"/>
    <s v="August"/>
    <s v="OK"/>
    <s v="Unique"/>
    <s v="Ready"/>
    <s v="Karan - Robbery"/>
  </r>
  <r>
    <s v="CRM00259"/>
    <d v="2026-06-05T00:00:00"/>
    <s v="Robbery"/>
    <s v="Karan"/>
    <x v="0"/>
    <s v="Under Investigation"/>
    <s v="High"/>
    <n v="2026"/>
    <n v="6"/>
    <s v="June"/>
    <s v="OK"/>
    <s v="Unique"/>
    <s v="Ready"/>
    <s v="Daynile - Theft"/>
  </r>
  <r>
    <s v="CRM00258"/>
    <d v="2026-07-12T00:00:00"/>
    <s v="Assault"/>
    <s v="Wadajir"/>
    <x v="0"/>
    <s v="Closed"/>
    <s v="High"/>
    <n v="2026"/>
    <n v="7"/>
    <s v="July"/>
    <s v="OK"/>
    <s v="Unique"/>
    <s v="Ready"/>
    <s v="Hodan - Assault"/>
  </r>
  <r>
    <s v="CRM00257"/>
    <d v="2026-05-07T00:00:00"/>
    <s v="Theft"/>
    <s v="Wadajir"/>
    <x v="0"/>
    <s v="Under Investigation"/>
    <s v="Medium"/>
    <n v="2026"/>
    <n v="5"/>
    <s v="May"/>
    <s v="OK"/>
    <s v="Unique"/>
    <s v="Ready"/>
    <s v="Karan - Theft"/>
  </r>
  <r>
    <s v="CRM00256"/>
    <d v="2026-07-12T00:00:00"/>
    <s v="Theft"/>
    <s v="Waberi"/>
    <x v="0"/>
    <s v="Open"/>
    <s v="Medium"/>
    <n v="2026"/>
    <n v="7"/>
    <s v="July"/>
    <s v="OK"/>
    <s v="Unique"/>
    <s v="Ready"/>
    <s v="Daynile - Fraud"/>
  </r>
  <r>
    <s v="CRM00255"/>
    <d v="2026-02-03T00:00:00"/>
    <s v="Fraud"/>
    <s v="Wadajir"/>
    <x v="0"/>
    <s v="Open"/>
    <s v="Medium"/>
    <n v="2026"/>
    <n v="2"/>
    <s v="February"/>
    <s v="OK"/>
    <s v="Unique"/>
    <s v="Ready"/>
    <s v="Yaqshid - Traffic Offense"/>
  </r>
  <r>
    <s v="CRM00254"/>
    <d v="2026-07-12T00:00:00"/>
    <s v="Theft"/>
    <s v="Karan"/>
    <x v="0"/>
    <s v="Open"/>
    <s v="High"/>
    <n v="2026"/>
    <n v="7"/>
    <s v="July"/>
    <s v="OK"/>
    <s v="Unique"/>
    <s v="Ready"/>
    <s v="Wadajir - Robbery"/>
  </r>
  <r>
    <s v="CRM00253"/>
    <d v="2026-01-13T00:00:00"/>
    <s v="Fraud"/>
    <s v="Hodan"/>
    <x v="2"/>
    <s v="Closed"/>
    <s v="Medium"/>
    <n v="2026"/>
    <n v="1"/>
    <s v="January"/>
    <s v="OK"/>
    <s v="Unique"/>
    <s v="Ready"/>
    <s v="Wadajir - Robbery"/>
  </r>
  <r>
    <s v="CRM00252"/>
    <d v="2026-04-24T00:00:00"/>
    <s v="Assault"/>
    <s v="Hodan"/>
    <x v="1"/>
    <s v="Closed"/>
    <s v="High"/>
    <n v="2026"/>
    <n v="4"/>
    <s v="April"/>
    <s v="Needs Review"/>
    <s v="Unique"/>
    <s v="Review"/>
    <s v="Karan - Burglary"/>
  </r>
  <r>
    <s v="CRM00251"/>
    <d v="2026-02-15T00:00:00"/>
    <s v="Robbery"/>
    <s v="Hodan"/>
    <x v="2"/>
    <s v="Closed"/>
    <s v="High"/>
    <n v="2026"/>
    <n v="2"/>
    <s v="February"/>
    <s v="OK"/>
    <s v="Unique"/>
    <s v="Ready"/>
    <s v="Daynile - Robbery"/>
  </r>
  <r>
    <s v="CRM00250"/>
    <d v="2025-01-22T00:00:00"/>
    <s v="Traffic Offense"/>
    <s v="Hodan"/>
    <x v="2"/>
    <s v="Closed"/>
    <s v="Low"/>
    <n v="2025"/>
    <n v="1"/>
    <s v="January"/>
    <s v="OK"/>
    <s v="Unique"/>
    <s v="Ready"/>
    <s v="Daynile - Assault"/>
  </r>
  <r>
    <s v="CRM00249"/>
    <d v="2026-01-28T00:00:00"/>
    <s v="Assault"/>
    <s v="Daynile"/>
    <x v="0"/>
    <s v="Under Investigation"/>
    <s v="High"/>
    <n v="2026"/>
    <n v="1"/>
    <s v="January"/>
    <s v="OK"/>
    <s v="Unique"/>
    <s v="Ready"/>
    <s v="Hodan - Theft"/>
  </r>
  <r>
    <s v="CRM00248"/>
    <d v="2025-07-22T00:00:00"/>
    <s v="Burglary"/>
    <s v="Wadajir"/>
    <x v="2"/>
    <s v="Under Investigation"/>
    <s v="Medium"/>
    <n v="2025"/>
    <n v="7"/>
    <s v="July"/>
    <s v="OK"/>
    <s v="Unique"/>
    <s v="Ready"/>
    <s v="Waberi - Traffic Offense"/>
  </r>
  <r>
    <s v="CRM00247"/>
    <d v="2025-04-17T00:00:00"/>
    <s v="Robbery"/>
    <s v="Yaqshid"/>
    <x v="0"/>
    <s v="Closed"/>
    <s v="High"/>
    <n v="2025"/>
    <n v="4"/>
    <s v="April"/>
    <s v="OK"/>
    <s v="Unique"/>
    <s v="Ready"/>
    <s v="Wadajir - Burglary"/>
  </r>
  <r>
    <s v="CRM00246"/>
    <d v="2025-04-25T00:00:00"/>
    <s v="Theft"/>
    <s v="Wadajir"/>
    <x v="0"/>
    <s v="Closed"/>
    <s v="Medium"/>
    <n v="2025"/>
    <n v="4"/>
    <s v="April"/>
    <s v="OK"/>
    <s v="Unique"/>
    <s v="Ready"/>
    <s v="Hodan - Fraud"/>
  </r>
  <r>
    <s v="CRM00245"/>
    <d v="2026-06-05T00:00:00"/>
    <s v="Theft"/>
    <s v="Daynile"/>
    <x v="0"/>
    <s v="Open"/>
    <s v="Medium"/>
    <n v="2026"/>
    <n v="6"/>
    <s v="June"/>
    <s v="OK"/>
    <s v="Unique"/>
    <s v="Ready"/>
    <s v="Karan - Fraud"/>
  </r>
  <r>
    <s v="CRM00244"/>
    <d v="2026-02-27T00:00:00"/>
    <s v="Assault"/>
    <s v="Hodan"/>
    <x v="2"/>
    <s v="Under Investigation"/>
    <s v="High"/>
    <n v="2026"/>
    <n v="2"/>
    <s v="February"/>
    <s v="OK"/>
    <s v="Unique"/>
    <s v="Ready"/>
    <s v="Daynile - Assault"/>
  </r>
  <r>
    <s v="CRM00243"/>
    <d v="2025-03-03T00:00:00"/>
    <s v="Traffic Offense"/>
    <s v="Hodan"/>
    <x v="2"/>
    <s v="Under Investigation"/>
    <s v="High"/>
    <n v="2025"/>
    <n v="3"/>
    <s v="March"/>
    <s v="OK"/>
    <s v="Unique"/>
    <s v="Ready"/>
    <s v="Wadajir - Theft"/>
  </r>
  <r>
    <s v="CRM00242"/>
    <d v="2026-05-02T00:00:00"/>
    <s v="Robbery"/>
    <s v="Karan"/>
    <x v="2"/>
    <s v="Closed"/>
    <s v="High"/>
    <n v="2026"/>
    <n v="5"/>
    <s v="May"/>
    <s v="OK"/>
    <s v="Unique"/>
    <s v="Ready"/>
    <s v="Daynile - Fraud"/>
  </r>
  <r>
    <s v="CRM00241"/>
    <d v="2026-03-11T00:00:00"/>
    <s v="Theft"/>
    <s v="Wadajir"/>
    <x v="2"/>
    <s v="Closed"/>
    <s v="Medium"/>
    <n v="2026"/>
    <n v="3"/>
    <s v="March"/>
    <s v="OK"/>
    <s v="Unique"/>
    <s v="Ready"/>
    <s v="Hodan - Assault"/>
  </r>
  <r>
    <s v="CRM00240"/>
    <d v="2025-04-14T00:00:00"/>
    <s v="Traffic Offense"/>
    <s v="Waberi"/>
    <x v="0"/>
    <s v="Open"/>
    <s v="Low"/>
    <n v="2025"/>
    <n v="4"/>
    <s v="April"/>
    <s v="OK"/>
    <s v="Unique"/>
    <s v="Ready"/>
    <s v="Hodan - Assault"/>
  </r>
  <r>
    <s v="CRM00239"/>
    <d v="2025-10-14T00:00:00"/>
    <s v="Assault"/>
    <s v="Wadajir"/>
    <x v="0"/>
    <s v="Closed"/>
    <s v="High"/>
    <n v="2025"/>
    <n v="10"/>
    <s v="October"/>
    <s v="OK"/>
    <s v="Unique"/>
    <s v="Ready"/>
    <s v="Karan - Burglary"/>
  </r>
  <r>
    <s v="CRM00238"/>
    <d v="2025-03-27T00:00:00"/>
    <s v="Assault"/>
    <s v="Yaqshid"/>
    <x v="0"/>
    <s v="Closed"/>
    <s v="High"/>
    <n v="2025"/>
    <n v="3"/>
    <s v="March"/>
    <s v="OK"/>
    <s v="Unique"/>
    <s v="Ready"/>
    <s v="Hodan - Assault"/>
  </r>
  <r>
    <s v="CRM00237"/>
    <d v="2026-02-02T00:00:00"/>
    <s v="Assault"/>
    <s v="Hodan"/>
    <x v="0"/>
    <s v="Closed"/>
    <s v="High"/>
    <n v="2026"/>
    <n v="2"/>
    <s v="February"/>
    <s v="OK"/>
    <s v="Unique"/>
    <s v="Ready"/>
    <s v="Hodan - Assault"/>
  </r>
  <r>
    <s v="CRM00236"/>
    <d v="2025-03-15T00:00:00"/>
    <s v="Fraud"/>
    <s v="Hodan"/>
    <x v="0"/>
    <s v="Closed"/>
    <s v="Medium"/>
    <n v="2025"/>
    <n v="3"/>
    <s v="March"/>
    <s v="OK"/>
    <s v="Unique"/>
    <s v="Ready"/>
    <s v="Daynile - Fraud"/>
  </r>
  <r>
    <s v="CRM00235"/>
    <d v="2025-02-24T00:00:00"/>
    <s v="Theft"/>
    <s v="Hodan"/>
    <x v="0"/>
    <s v="Referred"/>
    <s v="Medium"/>
    <n v="2025"/>
    <n v="2"/>
    <s v="February"/>
    <s v="OK"/>
    <s v="Unique"/>
    <s v="Ready"/>
    <s v="Wadajir - Fraud"/>
  </r>
  <r>
    <s v="CRM00234"/>
    <d v="2026-07-12T00:00:00"/>
    <s v="Traffic Offense"/>
    <s v="Daynile"/>
    <x v="1"/>
    <s v="Closed"/>
    <s v="Low"/>
    <n v="2026"/>
    <n v="7"/>
    <s v="July"/>
    <s v="Needs Review"/>
    <s v="Unique"/>
    <s v="Review"/>
    <s v="Daynile - Robbery"/>
  </r>
  <r>
    <s v="CRM00233"/>
    <d v="2025-08-31T00:00:00"/>
    <s v="Assault"/>
    <s v="Daynile"/>
    <x v="0"/>
    <s v="Closed"/>
    <s v="High"/>
    <n v="2025"/>
    <n v="8"/>
    <s v="August"/>
    <s v="OK"/>
    <s v="Unique"/>
    <s v="Ready"/>
    <s v="Daynile - Robbery"/>
  </r>
  <r>
    <s v="CRM00232"/>
    <d v="2026-02-21T00:00:00"/>
    <s v="Fraud"/>
    <s v="Wadajir"/>
    <x v="0"/>
    <s v="Closed"/>
    <s v="Medium"/>
    <n v="2026"/>
    <n v="2"/>
    <s v="February"/>
    <s v="OK"/>
    <s v="Unique"/>
    <s v="Ready"/>
    <s v="Daynile - Theft"/>
  </r>
  <r>
    <s v="CRM00231"/>
    <d v="2025-06-26T00:00:00"/>
    <s v="Theft"/>
    <s v="Waberi"/>
    <x v="1"/>
    <s v="Under Investigation"/>
    <s v="Medium"/>
    <n v="2025"/>
    <n v="6"/>
    <s v="June"/>
    <s v="Needs Review"/>
    <s v="Unique"/>
    <s v="Review"/>
    <s v="Waberi - Traffic Offense"/>
  </r>
  <r>
    <s v="CRM00230"/>
    <d v="2025-08-13T00:00:00"/>
    <s v="Assault"/>
    <s v="Waberi"/>
    <x v="2"/>
    <s v="Under Investigation"/>
    <s v="High"/>
    <n v="2025"/>
    <n v="8"/>
    <s v="August"/>
    <s v="OK"/>
    <s v="Unique"/>
    <s v="Ready"/>
    <s v="Waberi - Robbery"/>
  </r>
  <r>
    <s v="CRM00229"/>
    <d v="2026-05-25T00:00:00"/>
    <s v="Fraud"/>
    <s v="Wadajir"/>
    <x v="2"/>
    <s v="Open"/>
    <s v="Medium"/>
    <n v="2026"/>
    <n v="5"/>
    <s v="May"/>
    <s v="OK"/>
    <s v="Unique"/>
    <s v="Ready"/>
    <s v="Daynile - Fraud"/>
  </r>
  <r>
    <s v="CRM00228"/>
    <d v="2026-03-27T00:00:00"/>
    <s v="Fraud"/>
    <s v="Waberi"/>
    <x v="1"/>
    <s v="Under Investigation"/>
    <s v="Medium"/>
    <n v="2026"/>
    <n v="3"/>
    <s v="March"/>
    <s v="Needs Review"/>
    <s v="Unique"/>
    <s v="Review"/>
    <s v="Hodan - Theft"/>
  </r>
  <r>
    <s v="CRM00227"/>
    <d v="2025-11-03T00:00:00"/>
    <s v="Traffic Offense"/>
    <s v="Wadajir"/>
    <x v="0"/>
    <s v="Closed"/>
    <s v="Low"/>
    <n v="2025"/>
    <n v="11"/>
    <s v="November"/>
    <s v="OK"/>
    <s v="Unique"/>
    <s v="Ready"/>
    <s v="Wadajir - Fraud"/>
  </r>
  <r>
    <s v="CRM00226"/>
    <d v="2025-03-20T00:00:00"/>
    <s v="Assault"/>
    <s v="Daynile"/>
    <x v="0"/>
    <s v="Closed"/>
    <s v="High"/>
    <n v="2025"/>
    <n v="3"/>
    <s v="March"/>
    <s v="OK"/>
    <s v="Unique"/>
    <s v="Ready"/>
    <s v="Wadajir - Theft"/>
  </r>
  <r>
    <s v="CRM00225"/>
    <d v="2026-07-22T00:00:00"/>
    <s v="Fraud"/>
    <s v="Wadajir"/>
    <x v="2"/>
    <s v="Under Investigation"/>
    <s v="Medium"/>
    <n v="2026"/>
    <n v="7"/>
    <s v="July"/>
    <s v="OK"/>
    <s v="Unique"/>
    <s v="Ready"/>
    <s v="Hodan - Assault"/>
  </r>
  <r>
    <s v="CRM00224"/>
    <d v="2026-05-05T00:00:00"/>
    <s v="Theft"/>
    <s v="Wadajir"/>
    <x v="2"/>
    <s v="Open"/>
    <s v="Medium"/>
    <n v="2026"/>
    <n v="5"/>
    <s v="May"/>
    <s v="OK"/>
    <s v="Unique"/>
    <s v="Ready"/>
    <s v="Daynile - Fraud"/>
  </r>
  <r>
    <s v="CRM00223"/>
    <d v="2026-07-12T00:00:00"/>
    <s v="Theft"/>
    <s v="Hodan"/>
    <x v="0"/>
    <s v="Closed"/>
    <s v="Medium"/>
    <n v="2026"/>
    <n v="7"/>
    <s v="July"/>
    <s v="OK"/>
    <s v="Unique"/>
    <s v="Ready"/>
    <s v="Wadajir - Fraud"/>
  </r>
  <r>
    <s v="CRM00222"/>
    <d v="2025-01-10T00:00:00"/>
    <s v="Theft"/>
    <s v="Daynile"/>
    <x v="0"/>
    <s v="Closed"/>
    <s v="Medium"/>
    <n v="2025"/>
    <n v="1"/>
    <s v="January"/>
    <s v="OK"/>
    <s v="Unique"/>
    <s v="Ready"/>
    <s v="Wadajir - Theft"/>
  </r>
  <r>
    <s v="CRM00221"/>
    <d v="2025-12-28T00:00:00"/>
    <s v="Fraud"/>
    <s v="Yaqshid"/>
    <x v="1"/>
    <s v="Under Investigation"/>
    <s v="Medium"/>
    <n v="2025"/>
    <n v="12"/>
    <s v="December"/>
    <s v="Needs Review"/>
    <s v="Unique"/>
    <s v="Review"/>
    <s v="Karan - Theft"/>
  </r>
  <r>
    <s v="CRM00220"/>
    <d v="2026-02-07T00:00:00"/>
    <s v="Assault"/>
    <s v="Hodan"/>
    <x v="0"/>
    <s v="Open"/>
    <s v="High"/>
    <n v="2026"/>
    <n v="2"/>
    <s v="February"/>
    <s v="OK"/>
    <s v="Unique"/>
    <s v="Ready"/>
    <s v="Yaqshid - Robbery"/>
  </r>
  <r>
    <s v="CRM00219"/>
    <d v="2026-02-20T00:00:00"/>
    <s v="Fraud"/>
    <s v="Yaqshid"/>
    <x v="2"/>
    <s v="Closed"/>
    <s v="Medium"/>
    <n v="2026"/>
    <n v="2"/>
    <s v="February"/>
    <s v="OK"/>
    <s v="Unique"/>
    <s v="Ready"/>
    <s v="Hodan - Assault"/>
  </r>
  <r>
    <s v="CRM00218"/>
    <d v="2025-09-02T00:00:00"/>
    <s v="Theft"/>
    <s v="Hodan"/>
    <x v="0"/>
    <s v="Closed"/>
    <s v="Medium"/>
    <n v="2025"/>
    <n v="9"/>
    <s v="September"/>
    <s v="OK"/>
    <s v="Unique"/>
    <s v="Ready"/>
    <s v="Yaqshid - Fraud"/>
  </r>
  <r>
    <s v="CRM00217"/>
    <d v="2025-02-09T00:00:00"/>
    <s v="Assault"/>
    <s v="Hodan"/>
    <x v="0"/>
    <s v="Closed"/>
    <s v="High"/>
    <n v="2025"/>
    <n v="2"/>
    <s v="February"/>
    <s v="OK"/>
    <s v="Unique"/>
    <s v="Ready"/>
    <s v="Yaqshid - Fraud"/>
  </r>
  <r>
    <s v="CRM00216"/>
    <d v="2026-05-25T00:00:00"/>
    <s v="Assault"/>
    <s v="Karan"/>
    <x v="0"/>
    <s v="Closed"/>
    <s v="High"/>
    <n v="2026"/>
    <n v="5"/>
    <s v="May"/>
    <s v="OK"/>
    <s v="Unique"/>
    <s v="Ready"/>
    <s v="Yaqshid - Robbery"/>
  </r>
  <r>
    <s v="CRM00215"/>
    <d v="2025-07-15T00:00:00"/>
    <s v="Fraud"/>
    <s v="Daynile"/>
    <x v="2"/>
    <s v="Under Investigation"/>
    <s v="Medium"/>
    <n v="2025"/>
    <n v="7"/>
    <s v="July"/>
    <s v="OK"/>
    <s v="Unique"/>
    <s v="Ready"/>
    <s v="Hodan - Theft"/>
  </r>
  <r>
    <s v="CRM00214"/>
    <d v="2025-07-31T00:00:00"/>
    <s v="Assault"/>
    <s v="Daynile"/>
    <x v="0"/>
    <s v="Open"/>
    <s v="High"/>
    <n v="2025"/>
    <n v="7"/>
    <s v="July"/>
    <s v="OK"/>
    <s v="Unique"/>
    <s v="Ready"/>
    <s v="Waberi - Theft"/>
  </r>
  <r>
    <s v="CRM00213"/>
    <d v="2026-07-12T00:00:00"/>
    <s v="Assault"/>
    <s v="Wadajir"/>
    <x v="0"/>
    <s v="Open"/>
    <s v="High"/>
    <n v="2026"/>
    <n v="7"/>
    <s v="July"/>
    <s v="OK"/>
    <s v="Unique"/>
    <s v="Ready"/>
    <s v="Wadajir - Fraud"/>
  </r>
  <r>
    <s v="CRM00212"/>
    <d v="2025-09-23T00:00:00"/>
    <s v="Fraud"/>
    <s v="Hodan"/>
    <x v="0"/>
    <s v="Closed"/>
    <s v="Medium"/>
    <n v="2025"/>
    <n v="9"/>
    <s v="September"/>
    <s v="OK"/>
    <s v="Unique"/>
    <s v="Ready"/>
    <s v="Wadajir - Robbery"/>
  </r>
  <r>
    <s v="CRM00211"/>
    <d v="2025-11-14T00:00:00"/>
    <s v="Theft"/>
    <s v="Wadajir"/>
    <x v="0"/>
    <s v="Closed"/>
    <s v="Medium"/>
    <n v="2025"/>
    <n v="11"/>
    <s v="November"/>
    <s v="OK"/>
    <s v="Unique"/>
    <s v="Ready"/>
    <s v="Wadajir - Fraud"/>
  </r>
  <r>
    <s v="CRM00210"/>
    <d v="2025-04-08T00:00:00"/>
    <s v="Fraud"/>
    <s v="Daynile"/>
    <x v="2"/>
    <s v="Closed"/>
    <s v="High"/>
    <n v="2025"/>
    <n v="4"/>
    <s v="April"/>
    <s v="OK"/>
    <s v="Unique"/>
    <s v="Ready"/>
    <s v="Wadajir - Robbery"/>
  </r>
  <r>
    <s v="CRM00209"/>
    <d v="2025-06-25T00:00:00"/>
    <s v="Theft"/>
    <s v="Hodan"/>
    <x v="2"/>
    <s v="Under Investigation"/>
    <s v="High"/>
    <n v="2025"/>
    <n v="6"/>
    <s v="June"/>
    <s v="OK"/>
    <s v="Unique"/>
    <s v="Ready"/>
    <s v="Wadajir - Robbery"/>
  </r>
  <r>
    <s v="CRM00208"/>
    <d v="2025-09-24T00:00:00"/>
    <s v="Robbery"/>
    <s v="Karan"/>
    <x v="1"/>
    <s v="Under Investigation"/>
    <s v="High"/>
    <n v="2025"/>
    <n v="9"/>
    <s v="September"/>
    <s v="Needs Review"/>
    <s v="Unique"/>
    <s v="Review"/>
    <s v="Wadajir - Burglary"/>
  </r>
  <r>
    <s v="CRM00207"/>
    <d v="2026-03-22T00:00:00"/>
    <s v="Fraud"/>
    <s v="Daynile"/>
    <x v="0"/>
    <s v="Closed"/>
    <s v="Medium"/>
    <n v="2026"/>
    <n v="3"/>
    <s v="March"/>
    <s v="OK"/>
    <s v="Unique"/>
    <s v="Ready"/>
    <s v="Daynile - Assault"/>
  </r>
  <r>
    <s v="CRM00206"/>
    <d v="2026-04-11T00:00:00"/>
    <s v="Assault"/>
    <s v="Daynile"/>
    <x v="2"/>
    <s v="Closed"/>
    <s v="High"/>
    <n v="2026"/>
    <n v="4"/>
    <s v="April"/>
    <s v="OK"/>
    <s v="Unique"/>
    <s v="Ready"/>
    <s v="Hodan - Robbery"/>
  </r>
  <r>
    <s v="CRM00205"/>
    <d v="2025-08-11T00:00:00"/>
    <s v="Assault"/>
    <s v="Karan"/>
    <x v="2"/>
    <s v="Open"/>
    <s v="High"/>
    <n v="2025"/>
    <n v="8"/>
    <s v="August"/>
    <s v="OK"/>
    <s v="Unique"/>
    <s v="Ready"/>
    <s v="Waberi - Fraud"/>
  </r>
  <r>
    <s v="CRM00204"/>
    <d v="2026-06-25T00:00:00"/>
    <s v="Theft"/>
    <s v="Waberi"/>
    <x v="1"/>
    <s v="Under Investigation"/>
    <s v="Medium"/>
    <n v="2026"/>
    <n v="6"/>
    <s v="June"/>
    <s v="Needs Review"/>
    <s v="Unique"/>
    <s v="Review"/>
    <s v="Daynile - Fraud"/>
  </r>
  <r>
    <s v="CRM00203"/>
    <d v="2026-04-25T00:00:00"/>
    <s v="Robbery"/>
    <s v="Karan"/>
    <x v="1"/>
    <s v="Closed"/>
    <s v="High"/>
    <n v="2026"/>
    <n v="4"/>
    <s v="April"/>
    <s v="Needs Review"/>
    <s v="Unique"/>
    <s v="Review"/>
    <s v="Yaqshid - Fraud"/>
  </r>
  <r>
    <s v="CRM00202"/>
    <d v="2025-02-26T00:00:00"/>
    <s v="Theft"/>
    <s v="Hodan"/>
    <x v="0"/>
    <s v="Under Investigation"/>
    <s v="High"/>
    <n v="2025"/>
    <n v="2"/>
    <s v="February"/>
    <s v="OK"/>
    <s v="Unique"/>
    <s v="Ready"/>
    <s v="Yaqshid - Fraud"/>
  </r>
  <r>
    <s v="CRM00201"/>
    <d v="2025-02-13T00:00:00"/>
    <s v="Burglary"/>
    <s v="Wadajir"/>
    <x v="0"/>
    <s v="Closed"/>
    <s v="Medium"/>
    <n v="2025"/>
    <n v="2"/>
    <s v="February"/>
    <s v="OK"/>
    <s v="Unique"/>
    <s v="Ready"/>
    <s v="Yaqshid - Fraud"/>
  </r>
  <r>
    <s v="CRM00200"/>
    <d v="2025-06-23T00:00:00"/>
    <s v="Traffic Offense"/>
    <s v="Hodan"/>
    <x v="1"/>
    <s v="Closed"/>
    <s v="Low"/>
    <n v="2025"/>
    <n v="6"/>
    <s v="June"/>
    <s v="Needs Review"/>
    <s v="Unique"/>
    <s v="Review"/>
    <s v="Daynile - Theft"/>
  </r>
  <r>
    <s v="CRM00199"/>
    <d v="2026-05-15T00:00:00"/>
    <s v="Fraud"/>
    <s v="Daynile"/>
    <x v="0"/>
    <s v="Closed"/>
    <s v="Medium"/>
    <n v="2026"/>
    <n v="5"/>
    <s v="May"/>
    <s v="OK"/>
    <s v="Unique"/>
    <s v="Ready"/>
    <s v="Karan - Robbery"/>
  </r>
  <r>
    <s v="CRM00198"/>
    <d v="2025-02-17T00:00:00"/>
    <s v="Assault"/>
    <s v="Wadajir"/>
    <x v="0"/>
    <s v="Open"/>
    <s v="High"/>
    <n v="2025"/>
    <n v="2"/>
    <s v="February"/>
    <s v="OK"/>
    <s v="Unique"/>
    <s v="Ready"/>
    <s v="Yaqshid - Assault"/>
  </r>
  <r>
    <s v="CRM00197"/>
    <d v="2026-02-13T00:00:00"/>
    <s v="Burglary"/>
    <s v="Karan"/>
    <x v="0"/>
    <s v="Closed"/>
    <s v="Medium"/>
    <n v="2026"/>
    <n v="2"/>
    <s v="February"/>
    <s v="OK"/>
    <s v="Unique"/>
    <s v="Ready"/>
    <s v="Karan - Fraud"/>
  </r>
  <r>
    <s v="CRM00196"/>
    <d v="2025-03-11T00:00:00"/>
    <s v="Assault"/>
    <s v="Hodan"/>
    <x v="0"/>
    <s v="Under Investigation"/>
    <s v="High"/>
    <n v="2025"/>
    <n v="3"/>
    <s v="March"/>
    <s v="OK"/>
    <s v="Unique"/>
    <s v="Ready"/>
    <s v="Wadajir - Theft"/>
  </r>
  <r>
    <s v="CRM00195"/>
    <d v="2026-06-09T00:00:00"/>
    <s v="Theft"/>
    <s v="Wadajir"/>
    <x v="0"/>
    <s v="Under Investigation"/>
    <s v="Medium"/>
    <n v="2026"/>
    <n v="6"/>
    <s v="June"/>
    <s v="OK"/>
    <s v="Unique"/>
    <s v="Ready"/>
    <s v="Hodan - Robbery"/>
  </r>
  <r>
    <s v="CRM00194"/>
    <d v="2025-04-18T00:00:00"/>
    <s v="Theft"/>
    <s v="Karan"/>
    <x v="2"/>
    <s v="Under Investigation"/>
    <s v="High"/>
    <n v="2025"/>
    <n v="4"/>
    <s v="April"/>
    <s v="OK"/>
    <s v="Unique"/>
    <s v="Ready"/>
    <s v="Waberi - Theft"/>
  </r>
  <r>
    <s v="CRM00193"/>
    <d v="2026-07-12T00:00:00"/>
    <s v="Assault"/>
    <s v="Hodan"/>
    <x v="0"/>
    <s v="Closed"/>
    <s v="High"/>
    <n v="2026"/>
    <n v="7"/>
    <s v="July"/>
    <s v="OK"/>
    <s v="Unique"/>
    <s v="Ready"/>
    <s v="Yaqshid - Assault"/>
  </r>
  <r>
    <s v="CRM00192"/>
    <d v="2025-05-27T00:00:00"/>
    <s v="Robbery"/>
    <s v="Wadajir"/>
    <x v="0"/>
    <s v="Closed"/>
    <s v="High"/>
    <n v="2025"/>
    <n v="5"/>
    <s v="May"/>
    <s v="OK"/>
    <s v="Unique"/>
    <s v="Ready"/>
    <s v="Waberi - Theft"/>
  </r>
  <r>
    <s v="CRM00191"/>
    <d v="2025-07-15T00:00:00"/>
    <s v="Assault"/>
    <s v="Hodan"/>
    <x v="0"/>
    <s v="Open"/>
    <s v="Medium"/>
    <n v="2025"/>
    <n v="7"/>
    <s v="July"/>
    <s v="OK"/>
    <s v="Unique"/>
    <s v="Ready"/>
    <s v="Karan - Assault"/>
  </r>
  <r>
    <s v="CRM00190"/>
    <d v="2025-06-16T00:00:00"/>
    <s v="Theft"/>
    <s v="Wadajir"/>
    <x v="2"/>
    <s v="Open"/>
    <s v="Medium"/>
    <n v="2025"/>
    <n v="6"/>
    <s v="June"/>
    <s v="OK"/>
    <s v="Unique"/>
    <s v="Ready"/>
    <s v="Hodan - Theft"/>
  </r>
  <r>
    <s v="CRM00189"/>
    <d v="2025-09-01T00:00:00"/>
    <s v="Robbery"/>
    <s v="Waberi"/>
    <x v="2"/>
    <s v="Open"/>
    <s v="High"/>
    <n v="2025"/>
    <n v="9"/>
    <s v="September"/>
    <s v="OK"/>
    <s v="Unique"/>
    <s v="Ready"/>
    <s v="Hodan - Assault"/>
  </r>
  <r>
    <s v="CRM00188"/>
    <d v="2026-02-02T00:00:00"/>
    <s v="Assault"/>
    <s v="Wadajir"/>
    <x v="2"/>
    <s v="Open"/>
    <s v="High"/>
    <n v="2026"/>
    <n v="2"/>
    <s v="February"/>
    <s v="OK"/>
    <s v="Unique"/>
    <s v="Ready"/>
    <s v="Hodan - Robbery"/>
  </r>
  <r>
    <s v="CRM00187"/>
    <d v="2025-01-12T00:00:00"/>
    <s v="Traffic Offense"/>
    <s v="Yaqshid"/>
    <x v="2"/>
    <s v="Under Investigation"/>
    <s v="Low"/>
    <n v="2025"/>
    <n v="1"/>
    <s v="January"/>
    <s v="OK"/>
    <s v="Unique"/>
    <s v="Ready"/>
    <s v="Wadajir - Theft"/>
  </r>
  <r>
    <s v="CRM00185"/>
    <d v="2025-11-09T00:00:00"/>
    <s v="Traffic Offense"/>
    <s v="Hodan"/>
    <x v="1"/>
    <s v="Closed"/>
    <s v="Low"/>
    <n v="2025"/>
    <n v="11"/>
    <s v="November"/>
    <s v="Needs Review"/>
    <s v="Unique"/>
    <s v="Review"/>
    <s v="Hodan - Assault"/>
  </r>
  <r>
    <s v="CRM00183"/>
    <d v="2026-01-08T00:00:00"/>
    <s v="Fraud"/>
    <s v="Daynile"/>
    <x v="1"/>
    <s v="Open"/>
    <s v="High"/>
    <n v="2026"/>
    <n v="1"/>
    <s v="January"/>
    <s v="Needs Review"/>
    <s v="Unique"/>
    <s v="Review"/>
    <s v="Wadajir - Robbery"/>
  </r>
  <r>
    <s v="CRM00182"/>
    <d v="2026-07-20T00:00:00"/>
    <s v="Theft"/>
    <s v="Yaqshid"/>
    <x v="2"/>
    <s v="Closed"/>
    <s v="Medium"/>
    <n v="2026"/>
    <n v="7"/>
    <s v="July"/>
    <s v="OK"/>
    <s v="Unique"/>
    <s v="Ready"/>
    <s v="Waberi - Assault"/>
  </r>
  <r>
    <s v="CRM00181"/>
    <d v="2026-01-03T00:00:00"/>
    <s v="Robbery"/>
    <s v="Daynile"/>
    <x v="0"/>
    <s v="Closed"/>
    <s v="High"/>
    <n v="2026"/>
    <n v="1"/>
    <s v="January"/>
    <s v="OK"/>
    <s v="Unique"/>
    <s v="Ready"/>
    <s v="Hodan - Theft"/>
  </r>
  <r>
    <s v="CRM00180"/>
    <d v="2025-07-19T00:00:00"/>
    <s v="Theft"/>
    <s v="Yaqshid"/>
    <x v="0"/>
    <s v="Closed"/>
    <s v="Medium"/>
    <n v="2025"/>
    <n v="7"/>
    <s v="July"/>
    <s v="OK"/>
    <s v="Unique"/>
    <s v="Ready"/>
    <s v="Karan - Traffic Offense"/>
  </r>
  <r>
    <s v="CRM00179"/>
    <d v="2025-07-07T00:00:00"/>
    <s v="Traffic Offense"/>
    <s v="Wadajir"/>
    <x v="0"/>
    <s v="Closed"/>
    <s v="Low"/>
    <n v="2025"/>
    <n v="7"/>
    <s v="July"/>
    <s v="OK"/>
    <s v="Unique"/>
    <s v="Ready"/>
    <s v="Wadajir - Assault"/>
  </r>
  <r>
    <s v="CRM00178"/>
    <d v="2026-06-09T00:00:00"/>
    <s v="Theft"/>
    <s v="Daynile"/>
    <x v="1"/>
    <s v="Under Investigation"/>
    <s v="Medium"/>
    <n v="2026"/>
    <n v="6"/>
    <s v="June"/>
    <s v="Needs Review"/>
    <s v="Unique"/>
    <s v="Review"/>
    <s v="Hodan - Theft"/>
  </r>
  <r>
    <s v="CRM00177"/>
    <d v="2025-10-20T00:00:00"/>
    <s v="Fraud"/>
    <s v="Waberi"/>
    <x v="2"/>
    <s v="Closed"/>
    <s v="Medium"/>
    <n v="2025"/>
    <n v="10"/>
    <s v="October"/>
    <s v="OK"/>
    <s v="Unique"/>
    <s v="Ready"/>
    <s v="Waberi - Theft"/>
  </r>
  <r>
    <s v="CRM00176"/>
    <d v="2025-12-06T00:00:00"/>
    <s v="Assault"/>
    <s v="Karan"/>
    <x v="0"/>
    <s v="Under Investigation"/>
    <s v="High"/>
    <n v="2025"/>
    <n v="12"/>
    <s v="December"/>
    <s v="OK"/>
    <s v="Unique"/>
    <s v="Ready"/>
    <s v="Yaqshid - Fraud"/>
  </r>
  <r>
    <s v="CRM00175"/>
    <d v="2025-04-23T00:00:00"/>
    <s v="Assault"/>
    <s v="Hodan"/>
    <x v="0"/>
    <s v="Referred"/>
    <s v="High"/>
    <n v="2025"/>
    <n v="4"/>
    <s v="April"/>
    <s v="OK"/>
    <s v="Unique"/>
    <s v="Ready"/>
    <s v="Waberi - Assault"/>
  </r>
  <r>
    <s v="CRM00174"/>
    <d v="2025-04-20T00:00:00"/>
    <s v="Fraud"/>
    <s v="Yaqshid"/>
    <x v="0"/>
    <s v="Open"/>
    <s v="Medium"/>
    <n v="2025"/>
    <n v="4"/>
    <s v="April"/>
    <s v="OK"/>
    <s v="Unique"/>
    <s v="Ready"/>
    <s v="Yaqshid - Robbery"/>
  </r>
  <r>
    <s v="CRM00173"/>
    <d v="2025-06-18T00:00:00"/>
    <s v="Theft"/>
    <s v="Hodan"/>
    <x v="1"/>
    <s v="Closed"/>
    <s v="Medium"/>
    <n v="2025"/>
    <n v="6"/>
    <s v="June"/>
    <s v="Needs Review"/>
    <s v="Unique"/>
    <s v="Review"/>
    <s v="Hodan - Assault"/>
  </r>
  <r>
    <s v="CRM00172"/>
    <d v="2026-07-12T00:00:00"/>
    <s v="Theft"/>
    <s v="Hodan"/>
    <x v="0"/>
    <s v="Closed"/>
    <s v="Medium"/>
    <n v="2026"/>
    <n v="7"/>
    <s v="July"/>
    <s v="OK"/>
    <s v="Unique"/>
    <s v="Ready"/>
    <s v="Hodan - Theft"/>
  </r>
  <r>
    <s v="CRM00171"/>
    <d v="2026-04-21T00:00:00"/>
    <s v="Theft"/>
    <s v="Karan"/>
    <x v="0"/>
    <s v="Open"/>
    <s v="Medium"/>
    <n v="2026"/>
    <n v="4"/>
    <s v="April"/>
    <s v="OK"/>
    <s v="Unique"/>
    <s v="Ready"/>
    <s v="Hodan - Assault"/>
  </r>
  <r>
    <s v="CRM00170"/>
    <d v="2025-02-02T00:00:00"/>
    <s v="Assault"/>
    <s v="Wadajir"/>
    <x v="2"/>
    <s v="Open"/>
    <s v="High"/>
    <n v="2025"/>
    <n v="2"/>
    <s v="February"/>
    <s v="OK"/>
    <s v="Unique"/>
    <s v="Ready"/>
    <s v="Yaqshid - Theft"/>
  </r>
  <r>
    <s v="CRM00169"/>
    <d v="2026-05-13T00:00:00"/>
    <s v="Traffic Offense"/>
    <s v="Wadajir"/>
    <x v="2"/>
    <s v="Closed"/>
    <s v="Low"/>
    <n v="2026"/>
    <n v="5"/>
    <s v="May"/>
    <s v="OK"/>
    <s v="Unique"/>
    <s v="Ready"/>
    <s v="Hodan - Theft"/>
  </r>
  <r>
    <s v="CRM00168"/>
    <d v="2026-05-30T00:00:00"/>
    <s v="Theft"/>
    <s v="Hodan"/>
    <x v="0"/>
    <s v="Open"/>
    <s v="Medium"/>
    <n v="2026"/>
    <n v="5"/>
    <s v="May"/>
    <s v="OK"/>
    <s v="Unique"/>
    <s v="Ready"/>
    <s v="Daynile - Assault"/>
  </r>
  <r>
    <s v="CRM00167"/>
    <d v="2025-05-29T00:00:00"/>
    <s v="Fraud"/>
    <s v="Wadajir"/>
    <x v="1"/>
    <s v="Under Investigation"/>
    <s v="Medium"/>
    <n v="2025"/>
    <n v="5"/>
    <s v="May"/>
    <s v="Needs Review"/>
    <s v="Unique"/>
    <s v="Review"/>
    <s v="Karan - Robbery"/>
  </r>
  <r>
    <s v="CRM00166"/>
    <d v="2025-01-11T00:00:00"/>
    <s v="Burglary"/>
    <s v="Hodan"/>
    <x v="0"/>
    <s v="Closed"/>
    <s v="Medium"/>
    <n v="2025"/>
    <n v="1"/>
    <s v="January"/>
    <s v="OK"/>
    <s v="Unique"/>
    <s v="Ready"/>
    <s v="Hodan - Fraud"/>
  </r>
  <r>
    <s v="CRM00165"/>
    <d v="2025-11-16T00:00:00"/>
    <s v="Theft"/>
    <s v="Yaqshid"/>
    <x v="0"/>
    <s v="Open"/>
    <s v="Medium"/>
    <n v="2025"/>
    <n v="11"/>
    <s v="November"/>
    <s v="OK"/>
    <s v="Unique"/>
    <s v="Ready"/>
    <s v="Wadajir - Fraud"/>
  </r>
  <r>
    <s v="CRM00164"/>
    <d v="2025-10-05T00:00:00"/>
    <s v="Fraud"/>
    <s v="Yaqshid"/>
    <x v="1"/>
    <s v="Under Investigation"/>
    <s v="Medium"/>
    <n v="2025"/>
    <n v="10"/>
    <s v="October"/>
    <s v="Needs Review"/>
    <s v="Unique"/>
    <s v="Review"/>
    <s v="Wadajir - Theft"/>
  </r>
  <r>
    <s v="CRM00163"/>
    <d v="2026-07-12T00:00:00"/>
    <s v="Theft"/>
    <s v="Wadajir"/>
    <x v="0"/>
    <s v="Closed"/>
    <s v="Medium"/>
    <n v="2026"/>
    <n v="7"/>
    <s v="July"/>
    <s v="OK"/>
    <s v="Unique"/>
    <s v="Ready"/>
    <s v="Karan - Theft"/>
  </r>
  <r>
    <s v="CRM00162"/>
    <d v="2026-05-18T00:00:00"/>
    <s v="Assault"/>
    <s v="Hodan"/>
    <x v="0"/>
    <s v="Open"/>
    <s v="High"/>
    <n v="2026"/>
    <n v="5"/>
    <s v="May"/>
    <s v="OK"/>
    <s v="Unique"/>
    <s v="Ready"/>
    <s v="Karan - Assault"/>
  </r>
  <r>
    <s v="CRM00161"/>
    <d v="2025-10-27T00:00:00"/>
    <s v="Theft"/>
    <s v="Karan"/>
    <x v="0"/>
    <s v="Under Investigation"/>
    <s v="High"/>
    <n v="2025"/>
    <n v="10"/>
    <s v="October"/>
    <s v="OK"/>
    <s v="Unique"/>
    <s v="Ready"/>
    <s v="Wadajir - Theft"/>
  </r>
  <r>
    <s v="CRM00160"/>
    <d v="2025-02-25T00:00:00"/>
    <s v="Assault"/>
    <s v="Yaqshid"/>
    <x v="0"/>
    <s v="Referred"/>
    <s v="High"/>
    <n v="2025"/>
    <n v="2"/>
    <s v="February"/>
    <s v="OK"/>
    <s v="Unique"/>
    <s v="Ready"/>
    <s v="Wadajir - Fraud"/>
  </r>
  <r>
    <s v="CRM00158"/>
    <d v="2025-09-19T00:00:00"/>
    <s v="Assault"/>
    <s v="Wadajir"/>
    <x v="0"/>
    <s v="Under Investigation"/>
    <s v="High"/>
    <n v="2025"/>
    <n v="9"/>
    <s v="September"/>
    <s v="OK"/>
    <s v="Unique"/>
    <s v="Ready"/>
    <s v="Karan - Fraud"/>
  </r>
  <r>
    <s v="CRM00157"/>
    <d v="2026-05-14T00:00:00"/>
    <s v="Robbery"/>
    <s v="Daynile"/>
    <x v="2"/>
    <s v="Referred"/>
    <s v="High"/>
    <n v="2026"/>
    <n v="5"/>
    <s v="May"/>
    <s v="OK"/>
    <s v="Unique"/>
    <s v="Ready"/>
    <s v="Wadajir - Assault"/>
  </r>
  <r>
    <s v="CRM00156"/>
    <d v="2026-07-06T00:00:00"/>
    <s v="Theft"/>
    <s v="Waberi"/>
    <x v="0"/>
    <s v="Closed"/>
    <s v="Medium"/>
    <n v="2026"/>
    <n v="7"/>
    <s v="July"/>
    <s v="OK"/>
    <s v="Unique"/>
    <s v="Ready"/>
    <s v="Daynile - Robbery"/>
  </r>
  <r>
    <s v="CRM00155"/>
    <d v="2026-01-29T00:00:00"/>
    <s v="Assault"/>
    <s v="Daynile"/>
    <x v="0"/>
    <s v="Closed"/>
    <s v="High"/>
    <n v="2026"/>
    <n v="1"/>
    <s v="January"/>
    <s v="OK"/>
    <s v="Unique"/>
    <s v="Ready"/>
    <s v="Hodan - Assault"/>
  </r>
  <r>
    <s v="CRM00153"/>
    <d v="2026-04-06T00:00:00"/>
    <s v="Theft"/>
    <s v="Hodan"/>
    <x v="1"/>
    <s v="Under Investigation"/>
    <s v="Medium"/>
    <n v="2026"/>
    <n v="4"/>
    <s v="April"/>
    <s v="Needs Review"/>
    <s v="Unique"/>
    <s v="Review"/>
    <s v="Waberi - Burglary"/>
  </r>
  <r>
    <s v="CRM00152"/>
    <d v="2026-02-02T00:00:00"/>
    <s v="Fraud"/>
    <s v="Yaqshid"/>
    <x v="2"/>
    <s v="Closed"/>
    <s v="Low"/>
    <n v="2026"/>
    <n v="2"/>
    <s v="February"/>
    <s v="OK"/>
    <s v="Unique"/>
    <s v="Ready"/>
    <s v="Karan - Theft"/>
  </r>
  <r>
    <s v="CRM00151"/>
    <d v="2025-12-27T00:00:00"/>
    <s v="Robbery"/>
    <s v="Waberi"/>
    <x v="2"/>
    <s v="Closed"/>
    <s v="High"/>
    <n v="2025"/>
    <n v="12"/>
    <s v="December"/>
    <s v="OK"/>
    <s v="Unique"/>
    <s v="Ready"/>
    <s v="Hodan - Theft"/>
  </r>
  <r>
    <s v="CRM00150"/>
    <d v="2026-01-15T00:00:00"/>
    <s v="Theft"/>
    <s v="Hodan"/>
    <x v="2"/>
    <s v="Closed"/>
    <s v="Medium"/>
    <n v="2026"/>
    <n v="1"/>
    <s v="January"/>
    <s v="OK"/>
    <s v="Unique"/>
    <s v="Ready"/>
    <s v="Waberi - Fraud"/>
  </r>
  <r>
    <s v="CRM00149"/>
    <d v="2026-05-08T00:00:00"/>
    <s v="Theft"/>
    <s v="Hodan"/>
    <x v="0"/>
    <s v="Under Investigation"/>
    <s v="Medium"/>
    <n v="2026"/>
    <n v="5"/>
    <s v="May"/>
    <s v="OK"/>
    <s v="Unique"/>
    <s v="Ready"/>
    <s v="Waberi - Robbery"/>
  </r>
  <r>
    <s v="CRM00148"/>
    <d v="2025-07-12T00:00:00"/>
    <s v="Theft"/>
    <s v="Wadajir"/>
    <x v="1"/>
    <s v="Closed"/>
    <s v="Medium"/>
    <n v="2025"/>
    <n v="7"/>
    <s v="July"/>
    <s v="Needs Review"/>
    <s v="Unique"/>
    <s v="Review"/>
    <s v="Yaqshid - Theft"/>
  </r>
  <r>
    <s v="CRM00147"/>
    <d v="2025-08-07T00:00:00"/>
    <s v="Assault"/>
    <s v="Hodan"/>
    <x v="2"/>
    <s v="Open"/>
    <s v="High"/>
    <n v="2025"/>
    <n v="8"/>
    <s v="August"/>
    <s v="OK"/>
    <s v="Unique"/>
    <s v="Ready"/>
    <s v="Wadajir - Fraud"/>
  </r>
  <r>
    <s v="CRM00146"/>
    <d v="2025-07-12T00:00:00"/>
    <s v="Assault"/>
    <s v="Waberi"/>
    <x v="2"/>
    <s v="Open"/>
    <s v="High"/>
    <n v="2025"/>
    <n v="7"/>
    <s v="July"/>
    <s v="OK"/>
    <s v="Unique"/>
    <s v="Ready"/>
    <s v="Wadajir - Theft"/>
  </r>
  <r>
    <s v="CRM00145"/>
    <d v="2025-08-08T00:00:00"/>
    <s v="Fraud"/>
    <s v="Waberi"/>
    <x v="2"/>
    <s v="Closed"/>
    <s v="Medium"/>
    <n v="2025"/>
    <n v="8"/>
    <s v="August"/>
    <s v="OK"/>
    <s v="Unique"/>
    <s v="Ready"/>
    <s v="Yaqshid - Fraud"/>
  </r>
  <r>
    <s v="CRM00144"/>
    <d v="2026-02-26T00:00:00"/>
    <s v="Fraud"/>
    <s v="Karan"/>
    <x v="1"/>
    <s v="Under Investigation"/>
    <s v="Medium"/>
    <n v="2026"/>
    <n v="2"/>
    <s v="February"/>
    <s v="Needs Review"/>
    <s v="Unique"/>
    <s v="Review"/>
    <s v="Waberi - Robbery"/>
  </r>
  <r>
    <s v="CRM00143"/>
    <d v="2026-05-26T00:00:00"/>
    <s v="Theft"/>
    <s v="Wadajir"/>
    <x v="2"/>
    <s v="Closed"/>
    <s v="Medium"/>
    <n v="2026"/>
    <n v="5"/>
    <s v="May"/>
    <s v="OK"/>
    <s v="Unique"/>
    <s v="Ready"/>
    <s v="Daynile - Robbery"/>
  </r>
  <r>
    <s v="CRM00142"/>
    <d v="2026-03-06T00:00:00"/>
    <s v="Assault"/>
    <s v="Hodan"/>
    <x v="2"/>
    <s v="Open"/>
    <s v="High"/>
    <n v="2026"/>
    <n v="3"/>
    <s v="March"/>
    <s v="OK"/>
    <s v="Unique"/>
    <s v="Ready"/>
    <s v="Daynile - Fraud"/>
  </r>
  <r>
    <s v="CRM00141"/>
    <d v="2026-07-12T00:00:00"/>
    <s v="Burglary"/>
    <s v="Wadajir"/>
    <x v="2"/>
    <s v="Closed"/>
    <s v="Medium"/>
    <n v="2026"/>
    <n v="7"/>
    <s v="July"/>
    <s v="OK"/>
    <s v="Unique"/>
    <s v="Ready"/>
    <s v="Wadajir - Assault"/>
  </r>
  <r>
    <s v="CRM00140"/>
    <d v="2025-01-14T00:00:00"/>
    <s v="Robbery"/>
    <s v="Wadajir"/>
    <x v="2"/>
    <s v="Under Investigation"/>
    <s v="High"/>
    <n v="2025"/>
    <n v="1"/>
    <s v="January"/>
    <s v="OK"/>
    <s v="Unique"/>
    <s v="Ready"/>
    <s v="Daynile - Theft"/>
  </r>
  <r>
    <s v="CRM00139"/>
    <d v="2026-05-10T00:00:00"/>
    <s v="Robbery"/>
    <s v="Karan"/>
    <x v="0"/>
    <s v="Referred"/>
    <s v="High"/>
    <n v="2026"/>
    <n v="5"/>
    <s v="May"/>
    <s v="OK"/>
    <s v="Unique"/>
    <s v="Ready"/>
    <s v="Yaqshid - Burglary"/>
  </r>
  <r>
    <s v="CRM00138"/>
    <d v="2026-03-17T00:00:00"/>
    <s v="Theft"/>
    <s v="Yaqshid"/>
    <x v="2"/>
    <s v="Under Investigation"/>
    <s v="Medium"/>
    <n v="2026"/>
    <n v="3"/>
    <s v="March"/>
    <s v="OK"/>
    <s v="Unique"/>
    <s v="Ready"/>
    <s v="Wadajir - Theft"/>
  </r>
  <r>
    <s v="CRM00137"/>
    <d v="2026-05-12T00:00:00"/>
    <s v="Traffic Offense"/>
    <s v="Karan"/>
    <x v="0"/>
    <s v="Referred"/>
    <s v="Low"/>
    <n v="2026"/>
    <n v="5"/>
    <s v="May"/>
    <s v="OK"/>
    <s v="Unique"/>
    <s v="Ready"/>
    <s v="Daynile - Assault"/>
  </r>
  <r>
    <s v="CRM00136"/>
    <d v="2025-12-28T00:00:00"/>
    <s v="Theft"/>
    <s v="Yaqshid"/>
    <x v="1"/>
    <s v="Closed"/>
    <s v="Medium"/>
    <n v="2025"/>
    <n v="12"/>
    <s v="December"/>
    <s v="Needs Review"/>
    <s v="Unique"/>
    <s v="Review"/>
    <s v="Yaqshid - Theft"/>
  </r>
  <r>
    <s v="CRM00135"/>
    <d v="2025-03-07T00:00:00"/>
    <s v="Fraud"/>
    <s v="Yaqshid"/>
    <x v="2"/>
    <s v="Open"/>
    <s v="Medium"/>
    <n v="2025"/>
    <n v="3"/>
    <s v="March"/>
    <s v="OK"/>
    <s v="Unique"/>
    <s v="Ready"/>
    <s v="Waberi - Theft"/>
  </r>
  <r>
    <s v="CRM00134"/>
    <d v="2025-07-28T00:00:00"/>
    <s v="Assault"/>
    <s v="Hodan"/>
    <x v="1"/>
    <s v="Open"/>
    <s v="Medium"/>
    <n v="2025"/>
    <n v="7"/>
    <s v="July"/>
    <s v="Needs Review"/>
    <s v="Unique"/>
    <s v="Review"/>
    <s v="Hodan - Assault"/>
  </r>
  <r>
    <s v="CRM00133"/>
    <d v="2025-07-07T00:00:00"/>
    <s v="Burglary"/>
    <s v="Karan"/>
    <x v="0"/>
    <s v="Closed"/>
    <s v="Medium"/>
    <n v="2025"/>
    <n v="7"/>
    <s v="July"/>
    <s v="OK"/>
    <s v="Unique"/>
    <s v="Ready"/>
    <s v="Daynile - Theft"/>
  </r>
  <r>
    <s v="CRM00132"/>
    <d v="2025-04-01T00:00:00"/>
    <s v="Burglary"/>
    <s v="Wadajir"/>
    <x v="2"/>
    <s v="Closed"/>
    <s v="Medium"/>
    <n v="2025"/>
    <n v="4"/>
    <s v="April"/>
    <s v="OK"/>
    <s v="Unique"/>
    <s v="Ready"/>
    <s v="Hodan - Theft"/>
  </r>
  <r>
    <s v="CRM00131"/>
    <d v="2026-02-01T00:00:00"/>
    <s v="Assault"/>
    <s v="Yaqshid"/>
    <x v="2"/>
    <s v="Referred"/>
    <s v="High"/>
    <n v="2026"/>
    <n v="2"/>
    <s v="February"/>
    <s v="OK"/>
    <s v="Unique"/>
    <s v="Ready"/>
    <s v="Hodan - Assault"/>
  </r>
  <r>
    <s v="CRM00130"/>
    <d v="2026-06-26T00:00:00"/>
    <s v="Fraud"/>
    <s v="Hodan"/>
    <x v="2"/>
    <s v="Referred"/>
    <s v="Medium"/>
    <n v="2026"/>
    <n v="6"/>
    <s v="June"/>
    <s v="OK"/>
    <s v="Unique"/>
    <s v="Ready"/>
    <s v="Yaqshid - Fraud"/>
  </r>
  <r>
    <s v="CRM00129"/>
    <d v="2026-07-29T00:00:00"/>
    <s v="Fraud"/>
    <s v="Daynile"/>
    <x v="2"/>
    <s v="Closed"/>
    <s v="Medium"/>
    <n v="2026"/>
    <n v="7"/>
    <s v="July"/>
    <s v="OK"/>
    <s v="Unique"/>
    <s v="Ready"/>
    <s v="Hodan - Fraud"/>
  </r>
  <r>
    <s v="CRM00128"/>
    <d v="2026-07-12T00:00:00"/>
    <s v="Traffic Offense"/>
    <s v="Karan"/>
    <x v="0"/>
    <s v="Closed"/>
    <s v="Low"/>
    <n v="2026"/>
    <n v="7"/>
    <s v="July"/>
    <s v="OK"/>
    <s v="Unique"/>
    <s v="Ready"/>
    <s v="Karan - Robbery"/>
  </r>
  <r>
    <s v="CRM00127"/>
    <d v="2026-05-03T00:00:00"/>
    <s v="Fraud"/>
    <s v="Wadajir"/>
    <x v="0"/>
    <s v="Referred"/>
    <s v="Medium"/>
    <n v="2026"/>
    <n v="5"/>
    <s v="May"/>
    <s v="OK"/>
    <s v="Unique"/>
    <s v="Ready"/>
    <s v="Wadajir - Theft"/>
  </r>
  <r>
    <s v="CRM00126"/>
    <d v="2026-01-12T00:00:00"/>
    <s v="Theft"/>
    <s v="Hodan"/>
    <x v="1"/>
    <s v="Open"/>
    <s v="Medium"/>
    <n v="2026"/>
    <n v="1"/>
    <s v="January"/>
    <s v="Needs Review"/>
    <s v="Unique"/>
    <s v="Review"/>
    <s v="Yaqshid - Theft"/>
  </r>
  <r>
    <s v="CRM00125"/>
    <d v="2026-04-16T00:00:00"/>
    <s v="Assault"/>
    <s v="Wadajir"/>
    <x v="1"/>
    <s v="Referred"/>
    <s v="High"/>
    <n v="2026"/>
    <n v="4"/>
    <s v="April"/>
    <s v="Needs Review"/>
    <s v="Unique"/>
    <s v="Review"/>
    <s v="Wadajir - Traffic Offense"/>
  </r>
  <r>
    <s v="CRM00124"/>
    <d v="2025-05-26T00:00:00"/>
    <s v="Robbery"/>
    <s v="Wadajir"/>
    <x v="1"/>
    <s v="Open"/>
    <s v="High"/>
    <n v="2025"/>
    <n v="5"/>
    <s v="May"/>
    <s v="Needs Review"/>
    <s v="Unique"/>
    <s v="Review"/>
    <s v="Wadajir - Theft"/>
  </r>
  <r>
    <s v="CRM00123"/>
    <d v="2025-01-21T00:00:00"/>
    <s v="Theft"/>
    <s v="Yaqshid"/>
    <x v="1"/>
    <s v="Closed"/>
    <s v="Medium"/>
    <n v="2025"/>
    <n v="1"/>
    <s v="January"/>
    <s v="Needs Review"/>
    <s v="Unique"/>
    <s v="Review"/>
    <s v="Hodan - Assault"/>
  </r>
  <r>
    <s v="CRM00122"/>
    <d v="2025-12-12T00:00:00"/>
    <s v="Theft"/>
    <s v="Hodan"/>
    <x v="2"/>
    <s v="Under Investigation"/>
    <s v="Medium"/>
    <n v="2025"/>
    <n v="12"/>
    <s v="December"/>
    <s v="OK"/>
    <s v="Unique"/>
    <s v="Ready"/>
    <s v="Wadajir - Theft"/>
  </r>
  <r>
    <s v="CRM00121"/>
    <d v="2025-07-26T00:00:00"/>
    <s v="Theft"/>
    <s v="Daynile"/>
    <x v="0"/>
    <s v="Referred"/>
    <s v="Low"/>
    <n v="2025"/>
    <n v="7"/>
    <s v="July"/>
    <s v="OK"/>
    <s v="Unique"/>
    <s v="Ready"/>
    <s v="Wadajir - Assault"/>
  </r>
  <r>
    <s v="CRM00120"/>
    <d v="2025-10-15T00:00:00"/>
    <s v="Fraud"/>
    <s v="Hodan"/>
    <x v="1"/>
    <s v="Referred"/>
    <s v="Medium"/>
    <n v="2025"/>
    <n v="10"/>
    <s v="October"/>
    <s v="Needs Review"/>
    <s v="Unique"/>
    <s v="Review"/>
    <s v="Hodan - Fraud"/>
  </r>
  <r>
    <s v="CRM00119"/>
    <d v="2025-11-13T00:00:00"/>
    <s v="Robbery"/>
    <s v="Yaqshid"/>
    <x v="0"/>
    <s v="Closed"/>
    <s v="High"/>
    <n v="2025"/>
    <n v="11"/>
    <s v="November"/>
    <s v="OK"/>
    <s v="Unique"/>
    <s v="Ready"/>
    <s v="Wadajir - Theft"/>
  </r>
  <r>
    <s v="CRM00118"/>
    <d v="2025-06-24T00:00:00"/>
    <s v="Theft"/>
    <s v="Hodan"/>
    <x v="0"/>
    <s v="Referred"/>
    <s v="Medium"/>
    <n v="2025"/>
    <n v="6"/>
    <s v="June"/>
    <s v="OK"/>
    <s v="Unique"/>
    <s v="Ready"/>
    <s v="Hodan - Theft"/>
  </r>
  <r>
    <s v="CRM00117"/>
    <d v="2026-07-31T00:00:00"/>
    <s v="Theft"/>
    <s v="Wadajir"/>
    <x v="0"/>
    <s v="Closed"/>
    <s v="Medium"/>
    <n v="2026"/>
    <n v="7"/>
    <s v="July"/>
    <s v="OK"/>
    <s v="Unique"/>
    <s v="Ready"/>
    <s v="Waberi - Traffic Offense"/>
  </r>
  <r>
    <s v="CRM00116"/>
    <d v="2025-04-07T00:00:00"/>
    <s v="Assault"/>
    <s v="Waberi"/>
    <x v="0"/>
    <s v="Closed"/>
    <s v="High"/>
    <n v="2025"/>
    <n v="4"/>
    <s v="April"/>
    <s v="OK"/>
    <s v="Unique"/>
    <s v="Ready"/>
    <s v="Wadajir - Theft"/>
  </r>
  <r>
    <s v="CRM00114"/>
    <d v="2025-11-23T00:00:00"/>
    <s v="Assault"/>
    <s v="Hodan"/>
    <x v="0"/>
    <s v="Closed"/>
    <s v="High"/>
    <n v="2025"/>
    <n v="11"/>
    <s v="November"/>
    <s v="OK"/>
    <s v="Unique"/>
    <s v="Ready"/>
    <s v="Wadajir - Fraud"/>
  </r>
  <r>
    <s v="CRM00113"/>
    <d v="2025-09-01T00:00:00"/>
    <s v="Robbery"/>
    <s v="Hodan"/>
    <x v="0"/>
    <s v="Closed"/>
    <s v="High"/>
    <n v="2025"/>
    <n v="9"/>
    <s v="September"/>
    <s v="OK"/>
    <s v="Unique"/>
    <s v="Ready"/>
    <s v="Hodan - Theft"/>
  </r>
  <r>
    <s v="CRM00112"/>
    <d v="2025-08-01T00:00:00"/>
    <s v="Theft"/>
    <s v="Karan"/>
    <x v="1"/>
    <s v="Open"/>
    <s v="Medium"/>
    <n v="2025"/>
    <n v="8"/>
    <s v="August"/>
    <s v="Needs Review"/>
    <s v="Unique"/>
    <s v="Review"/>
    <s v="Hodan - Assault"/>
  </r>
  <r>
    <s v="CRM00111"/>
    <d v="2026-05-29T00:00:00"/>
    <s v="Theft"/>
    <s v="Daynile"/>
    <x v="0"/>
    <s v="Closed"/>
    <s v="Medium"/>
    <n v="2026"/>
    <n v="5"/>
    <s v="May"/>
    <s v="OK"/>
    <s v="Unique"/>
    <s v="Ready"/>
    <s v="Wadajir - Traffic Offense"/>
  </r>
  <r>
    <s v="CRM00109"/>
    <d v="2026-03-23T00:00:00"/>
    <s v="Robbery"/>
    <s v="Yaqshid"/>
    <x v="0"/>
    <s v="Closed"/>
    <s v="Medium"/>
    <n v="2026"/>
    <n v="3"/>
    <s v="March"/>
    <s v="OK"/>
    <s v="Unique"/>
    <s v="Ready"/>
    <s v="Hodan - Traffic Offense"/>
  </r>
  <r>
    <s v="CRM00107"/>
    <d v="2025-08-24T00:00:00"/>
    <s v="Robbery"/>
    <s v="Waberi"/>
    <x v="0"/>
    <s v="Referred"/>
    <s v="High"/>
    <n v="2025"/>
    <n v="8"/>
    <s v="August"/>
    <s v="OK"/>
    <s v="Unique"/>
    <s v="Ready"/>
    <s v="Hodan - Theft"/>
  </r>
  <r>
    <s v="CRM00106"/>
    <d v="2026-04-18T00:00:00"/>
    <s v="Theft"/>
    <s v="Waberi"/>
    <x v="1"/>
    <s v="Open"/>
    <s v="Medium"/>
    <n v="2026"/>
    <n v="4"/>
    <s v="April"/>
    <s v="Needs Review"/>
    <s v="Unique"/>
    <s v="Review"/>
    <s v="Hodan - Traffic Offense"/>
  </r>
  <r>
    <s v="CRM00105"/>
    <d v="2025-04-08T00:00:00"/>
    <s v="Traffic Offense"/>
    <s v="Karan"/>
    <x v="0"/>
    <s v="Closed"/>
    <s v="Low"/>
    <n v="2025"/>
    <n v="4"/>
    <s v="April"/>
    <s v="OK"/>
    <s v="Unique"/>
    <s v="Ready"/>
    <s v="Hodan - Theft"/>
  </r>
  <r>
    <s v="CRM00104"/>
    <d v="2025-05-16T00:00:00"/>
    <s v="Robbery"/>
    <s v="Yaqshid"/>
    <x v="0"/>
    <s v="Under Investigation"/>
    <s v="High"/>
    <n v="2025"/>
    <n v="5"/>
    <s v="May"/>
    <s v="OK"/>
    <s v="Unique"/>
    <s v="Ready"/>
    <s v="Yaqshid - Robbery"/>
  </r>
  <r>
    <s v="CRM00103"/>
    <d v="2026-02-14T00:00:00"/>
    <s v="Robbery"/>
    <s v="Hodan"/>
    <x v="2"/>
    <s v="Closed"/>
    <s v="High"/>
    <n v="2026"/>
    <n v="2"/>
    <s v="February"/>
    <s v="OK"/>
    <s v="Unique"/>
    <s v="Ready"/>
    <s v="Hodan - Theft"/>
  </r>
  <r>
    <s v="CRM00102"/>
    <d v="2025-10-30T00:00:00"/>
    <s v="Theft"/>
    <s v="Yaqshid"/>
    <x v="2"/>
    <s v="Closed"/>
    <s v="Medium"/>
    <n v="2025"/>
    <n v="10"/>
    <s v="October"/>
    <s v="OK"/>
    <s v="Unique"/>
    <s v="Ready"/>
    <s v="Hodan - Robbery"/>
  </r>
  <r>
    <s v="CRM00101"/>
    <d v="2025-03-13T00:00:00"/>
    <s v="Assault"/>
    <s v="Hodan"/>
    <x v="0"/>
    <s v="Open"/>
    <s v="High"/>
    <n v="2025"/>
    <n v="3"/>
    <s v="March"/>
    <s v="OK"/>
    <s v="Unique"/>
    <s v="Ready"/>
    <s v="Waberi - Theft"/>
  </r>
  <r>
    <s v="CRM00100"/>
    <d v="2025-08-15T00:00:00"/>
    <s v="Traffic Offense"/>
    <s v="Wadajir"/>
    <x v="1"/>
    <s v="Under Investigation"/>
    <s v="Low"/>
    <n v="2025"/>
    <n v="8"/>
    <s v="August"/>
    <s v="Needs Review"/>
    <s v="Unique"/>
    <s v="Review"/>
    <s v="Hodan - Fraud"/>
  </r>
  <r>
    <s v="CRM00099"/>
    <d v="2026-04-17T00:00:00"/>
    <s v="Theft"/>
    <s v="Wadajir"/>
    <x v="0"/>
    <s v="Referred"/>
    <s v="Medium"/>
    <n v="2026"/>
    <n v="4"/>
    <s v="April"/>
    <s v="OK"/>
    <s v="Unique"/>
    <s v="Ready"/>
    <s v="Daynile - Assault"/>
  </r>
  <r>
    <s v="CRM00098"/>
    <d v="2025-05-07T00:00:00"/>
    <s v="Fraud"/>
    <s v="Hodan"/>
    <x v="0"/>
    <s v="Closed"/>
    <s v="Medium"/>
    <n v="2025"/>
    <n v="5"/>
    <s v="May"/>
    <s v="OK"/>
    <s v="Unique"/>
    <s v="Ready"/>
    <s v="Waberi - Robbery"/>
  </r>
  <r>
    <s v="CRM00097"/>
    <d v="2026-07-13T00:00:00"/>
    <s v="Assault"/>
    <s v="Waberi"/>
    <x v="2"/>
    <s v="Under Investigation"/>
    <s v="High"/>
    <n v="2026"/>
    <n v="7"/>
    <s v="July"/>
    <s v="OK"/>
    <s v="Unique"/>
    <s v="Ready"/>
    <s v="Hodan - Fraud"/>
  </r>
  <r>
    <s v="CRM00096"/>
    <d v="2025-04-08T00:00:00"/>
    <s v="Fraud"/>
    <s v="Daynile"/>
    <x v="0"/>
    <s v="Under Investigation"/>
    <s v="Medium"/>
    <n v="2025"/>
    <n v="4"/>
    <s v="April"/>
    <s v="OK"/>
    <s v="Unique"/>
    <s v="Ready"/>
    <s v="Daynile - Robbery"/>
  </r>
  <r>
    <s v="CRM00094"/>
    <d v="2026-02-08T00:00:00"/>
    <s v="Theft"/>
    <s v="Wadajir"/>
    <x v="0"/>
    <s v="Closed"/>
    <s v="Medium"/>
    <n v="2026"/>
    <n v="2"/>
    <s v="February"/>
    <s v="OK"/>
    <s v="Unique"/>
    <s v="Ready"/>
    <s v="Waberi - Fraud"/>
  </r>
  <r>
    <s v="CRM00093"/>
    <d v="2025-05-30T00:00:00"/>
    <s v="Theft"/>
    <s v="Waberi"/>
    <x v="0"/>
    <s v="Closed"/>
    <s v="Medium"/>
    <n v="2025"/>
    <n v="5"/>
    <s v="May"/>
    <s v="OK"/>
    <s v="Unique"/>
    <s v="Ready"/>
    <s v="Wadajir - Burglary"/>
  </r>
  <r>
    <s v="CRM00092"/>
    <d v="2026-03-10T00:00:00"/>
    <s v="Assault"/>
    <s v="Hodan"/>
    <x v="2"/>
    <s v="Closed"/>
    <s v="Medium"/>
    <n v="2026"/>
    <n v="3"/>
    <s v="March"/>
    <s v="OK"/>
    <s v="Unique"/>
    <s v="Ready"/>
    <s v="Yaqshid - Theft"/>
  </r>
  <r>
    <s v="CRM00091"/>
    <d v="2026-04-15T00:00:00"/>
    <s v="Robbery"/>
    <s v="Hodan"/>
    <x v="0"/>
    <s v="Closed"/>
    <s v="High"/>
    <n v="2026"/>
    <n v="4"/>
    <s v="April"/>
    <s v="OK"/>
    <s v="Unique"/>
    <s v="Ready"/>
    <s v="Hodan - Assault"/>
  </r>
  <r>
    <s v="CRM00090"/>
    <d v="2025-12-04T00:00:00"/>
    <s v="Assault"/>
    <s v="Karan"/>
    <x v="0"/>
    <s v="Closed"/>
    <s v="High"/>
    <n v="2025"/>
    <n v="12"/>
    <s v="December"/>
    <s v="OK"/>
    <s v="Unique"/>
    <s v="Ready"/>
    <s v="Karan - Assault"/>
  </r>
  <r>
    <s v="CRM00088"/>
    <d v="2025-09-30T00:00:00"/>
    <s v="Robbery"/>
    <s v="Wadajir"/>
    <x v="0"/>
    <s v="Under Investigation"/>
    <s v="High"/>
    <n v="2025"/>
    <n v="9"/>
    <s v="September"/>
    <s v="OK"/>
    <s v="Unique"/>
    <s v="Ready"/>
    <s v="Wadajir - Theft"/>
  </r>
  <r>
    <s v="CRM00087"/>
    <d v="2025-09-09T00:00:00"/>
    <s v="Burglary"/>
    <s v="Yaqshid"/>
    <x v="1"/>
    <s v="Open"/>
    <s v="Medium"/>
    <n v="2025"/>
    <n v="9"/>
    <s v="September"/>
    <s v="Needs Review"/>
    <s v="Unique"/>
    <s v="Review"/>
    <s v="Wadajir - Theft"/>
  </r>
  <r>
    <s v="CRM00086"/>
    <d v="2025-10-14T00:00:00"/>
    <s v="Fraud"/>
    <s v="Daynile"/>
    <x v="2"/>
    <s v="Under Investigation"/>
    <s v="Medium"/>
    <n v="2025"/>
    <n v="10"/>
    <s v="October"/>
    <s v="OK"/>
    <s v="Unique"/>
    <s v="Ready"/>
    <s v="Hodan - Fraud"/>
  </r>
  <r>
    <s v="CRM00085"/>
    <d v="2025-12-09T00:00:00"/>
    <s v="Theft"/>
    <s v="Hodan"/>
    <x v="0"/>
    <s v="Open"/>
    <s v="Medium"/>
    <n v="2025"/>
    <n v="12"/>
    <s v="December"/>
    <s v="OK"/>
    <s v="Unique"/>
    <s v="Ready"/>
    <s v="Karan - Theft"/>
  </r>
  <r>
    <s v="CRM00083"/>
    <d v="2025-06-25T00:00:00"/>
    <s v="Fraud"/>
    <s v="Hodan"/>
    <x v="2"/>
    <s v="Open"/>
    <s v="Medium"/>
    <n v="2025"/>
    <n v="6"/>
    <s v="June"/>
    <s v="OK"/>
    <s v="Unique"/>
    <s v="Ready"/>
    <s v="Hodan - Fraud"/>
  </r>
  <r>
    <s v="CRM00082"/>
    <d v="2025-01-25T00:00:00"/>
    <s v="Theft"/>
    <s v="Daynile"/>
    <x v="2"/>
    <s v="Under Investigation"/>
    <s v="Medium"/>
    <n v="2025"/>
    <n v="1"/>
    <s v="January"/>
    <s v="OK"/>
    <s v="Unique"/>
    <s v="Ready"/>
    <s v="Waberi - Theft"/>
  </r>
  <r>
    <s v="CRM00081"/>
    <d v="2025-06-22T00:00:00"/>
    <s v="Theft"/>
    <s v="Karan"/>
    <x v="0"/>
    <s v="Closed"/>
    <s v="Medium"/>
    <n v="2025"/>
    <n v="6"/>
    <s v="June"/>
    <s v="OK"/>
    <s v="Unique"/>
    <s v="Ready"/>
    <s v="Yaqshid - Burglary"/>
  </r>
  <r>
    <s v="CRM00078"/>
    <d v="2026-03-06T00:00:00"/>
    <s v="Traffic Offense"/>
    <s v="Hodan"/>
    <x v="0"/>
    <s v="Closed"/>
    <s v="Low"/>
    <n v="2026"/>
    <n v="3"/>
    <s v="March"/>
    <s v="OK"/>
    <s v="Unique"/>
    <s v="Ready"/>
    <s v="Wadajir - Traffic Offense"/>
  </r>
  <r>
    <s v="CRM00077"/>
    <d v="2026-05-01T00:00:00"/>
    <s v="Traffic Offense"/>
    <s v="Hodan"/>
    <x v="0"/>
    <s v="Closed"/>
    <s v="High"/>
    <n v="2026"/>
    <n v="5"/>
    <s v="May"/>
    <s v="OK"/>
    <s v="Unique"/>
    <s v="Ready"/>
    <s v="Hodan - Fraud"/>
  </r>
  <r>
    <s v="CRM00076"/>
    <d v="2025-11-30T00:00:00"/>
    <s v="Theft"/>
    <s v="Yaqshid"/>
    <x v="2"/>
    <s v="Referred"/>
    <s v="Medium"/>
    <n v="2025"/>
    <n v="11"/>
    <s v="November"/>
    <s v="OK"/>
    <s v="Unique"/>
    <s v="Ready"/>
    <s v="Hodan - Theft"/>
  </r>
  <r>
    <s v="CRM00075"/>
    <d v="2025-12-11T00:00:00"/>
    <s v="Theft"/>
    <s v="Hodan"/>
    <x v="2"/>
    <s v="Open"/>
    <s v="Medium"/>
    <n v="2025"/>
    <n v="12"/>
    <s v="December"/>
    <s v="OK"/>
    <s v="Unique"/>
    <s v="Ready"/>
    <s v="Daynile - Traffic Offense"/>
  </r>
  <r>
    <s v="CRM00074"/>
    <d v="2025-09-24T00:00:00"/>
    <s v="Theft"/>
    <s v="Hodan"/>
    <x v="2"/>
    <s v="Under Investigation"/>
    <s v="Medium"/>
    <n v="2025"/>
    <n v="9"/>
    <s v="September"/>
    <s v="OK"/>
    <s v="Unique"/>
    <s v="Ready"/>
    <s v="Wadajir - Fraud"/>
  </r>
  <r>
    <s v="CRM00073"/>
    <d v="2025-11-13T00:00:00"/>
    <s v="Traffic Offense"/>
    <s v="Yaqshid"/>
    <x v="2"/>
    <s v="Under Investigation"/>
    <s v="Low"/>
    <n v="2025"/>
    <n v="11"/>
    <s v="November"/>
    <s v="OK"/>
    <s v="Unique"/>
    <s v="Ready"/>
    <s v="Waberi - Theft"/>
  </r>
  <r>
    <s v="CRM00072"/>
    <d v="2025-02-06T00:00:00"/>
    <s v="Fraud"/>
    <s v="Yaqshid"/>
    <x v="2"/>
    <s v="Referred"/>
    <s v="Medium"/>
    <n v="2025"/>
    <n v="2"/>
    <s v="February"/>
    <s v="OK"/>
    <s v="Unique"/>
    <s v="Ready"/>
    <s v="Daynile - Assault"/>
  </r>
  <r>
    <s v="CRM00071"/>
    <d v="2026-07-20T00:00:00"/>
    <s v="Traffic Offense"/>
    <s v="Daynile"/>
    <x v="0"/>
    <s v="Closed"/>
    <s v="Low"/>
    <n v="2026"/>
    <n v="7"/>
    <s v="July"/>
    <s v="OK"/>
    <s v="Unique"/>
    <s v="Ready"/>
    <s v="Hodan - Robbery"/>
  </r>
  <r>
    <s v="CRM00070"/>
    <d v="2026-01-22T00:00:00"/>
    <s v="Robbery"/>
    <s v="Hodan"/>
    <x v="0"/>
    <s v="Closed"/>
    <s v="High"/>
    <n v="2026"/>
    <n v="1"/>
    <s v="January"/>
    <s v="OK"/>
    <s v="Unique"/>
    <s v="Ready"/>
    <s v="Hodan - Robbery"/>
  </r>
  <r>
    <s v="CRM00068"/>
    <d v="2025-08-20T00:00:00"/>
    <s v="Theft"/>
    <s v="Yaqshid"/>
    <x v="2"/>
    <s v="Closed"/>
    <s v="Medium"/>
    <n v="2025"/>
    <n v="8"/>
    <s v="August"/>
    <s v="OK"/>
    <s v="Unique"/>
    <s v="Ready"/>
    <s v="Wadajir - Burglary"/>
  </r>
  <r>
    <s v="CRM00067"/>
    <d v="2025-11-27T00:00:00"/>
    <s v="Theft"/>
    <s v="Hodan"/>
    <x v="0"/>
    <s v="Closed"/>
    <s v="Medium"/>
    <n v="2025"/>
    <n v="11"/>
    <s v="November"/>
    <s v="OK"/>
    <s v="Unique"/>
    <s v="Ready"/>
    <s v="Hodan - Theft"/>
  </r>
  <r>
    <s v="CRM00066"/>
    <d v="2025-06-14T00:00:00"/>
    <s v="Burglary"/>
    <s v="Wadajir"/>
    <x v="2"/>
    <s v="Under Investigation"/>
    <s v="Medium"/>
    <n v="2025"/>
    <n v="6"/>
    <s v="June"/>
    <s v="OK"/>
    <s v="Unique"/>
    <s v="Ready"/>
    <s v="Hodan - Fraud"/>
  </r>
  <r>
    <s v="CRM00065"/>
    <d v="2025-03-07T00:00:00"/>
    <s v="Fraud"/>
    <s v="Yaqshid"/>
    <x v="0"/>
    <s v="Closed"/>
    <s v="Medium"/>
    <n v="2025"/>
    <n v="3"/>
    <s v="March"/>
    <s v="OK"/>
    <s v="Unique"/>
    <s v="Ready"/>
    <s v="Yaqshid - Assault"/>
  </r>
  <r>
    <s v="CRM00064"/>
    <d v="2025-08-16T00:00:00"/>
    <s v="Robbery"/>
    <s v="Karan"/>
    <x v="0"/>
    <s v="Open"/>
    <s v="Medium"/>
    <n v="2025"/>
    <n v="8"/>
    <s v="August"/>
    <s v="OK"/>
    <s v="Unique"/>
    <s v="Ready"/>
    <s v="Daynile - Traffic Offense"/>
  </r>
  <r>
    <s v="CRM00063"/>
    <d v="2025-07-29T00:00:00"/>
    <s v="Burglary"/>
    <s v="Yaqshid"/>
    <x v="2"/>
    <s v="Closed"/>
    <s v="Medium"/>
    <n v="2025"/>
    <n v="7"/>
    <s v="July"/>
    <s v="OK"/>
    <s v="Unique"/>
    <s v="Ready"/>
    <s v="Hodan - Traffic Offense"/>
  </r>
  <r>
    <s v="CRM00062"/>
    <d v="2026-07-03T00:00:00"/>
    <s v="Fraud"/>
    <s v="Hodan"/>
    <x v="0"/>
    <s v="Referred"/>
    <s v="Medium"/>
    <n v="2026"/>
    <n v="7"/>
    <s v="July"/>
    <s v="OK"/>
    <s v="Unique"/>
    <s v="Ready"/>
    <s v="Karan - Robbery"/>
  </r>
  <r>
    <s v="CRM00061"/>
    <d v="2025-04-14T00:00:00"/>
    <s v="Theft"/>
    <s v="Wadajir"/>
    <x v="0"/>
    <s v="Open"/>
    <s v="Medium"/>
    <n v="2025"/>
    <n v="4"/>
    <s v="April"/>
    <s v="OK"/>
    <s v="Unique"/>
    <s v="Ready"/>
    <s v="Wadajir - Traffic Offense"/>
  </r>
  <r>
    <s v="CRM00060"/>
    <d v="2026-01-29T00:00:00"/>
    <s v="Fraud"/>
    <s v="Wadajir"/>
    <x v="2"/>
    <s v="Under Investigation"/>
    <s v="High"/>
    <n v="2026"/>
    <n v="1"/>
    <s v="January"/>
    <s v="OK"/>
    <s v="Unique"/>
    <s v="Ready"/>
    <s v="Hodan - Theft"/>
  </r>
  <r>
    <s v="CRM00059"/>
    <d v="2025-02-22T00:00:00"/>
    <s v="Theft"/>
    <s v="Wadajir"/>
    <x v="1"/>
    <s v="Open"/>
    <s v="Medium"/>
    <n v="2025"/>
    <n v="2"/>
    <s v="February"/>
    <s v="Needs Review"/>
    <s v="Unique"/>
    <s v="Review"/>
    <s v="Hodan - Traffic Offense"/>
  </r>
  <r>
    <s v="CRM00058"/>
    <d v="2025-03-30T00:00:00"/>
    <s v="Theft"/>
    <s v="Hodan"/>
    <x v="1"/>
    <s v="Closed"/>
    <s v="Medium"/>
    <n v="2025"/>
    <n v="3"/>
    <s v="March"/>
    <s v="Needs Review"/>
    <s v="Unique"/>
    <s v="Review"/>
    <s v="Hodan - Fraud"/>
  </r>
  <r>
    <s v="CRM00057"/>
    <d v="2025-01-24T00:00:00"/>
    <s v="Traffic Offense"/>
    <s v="Waberi"/>
    <x v="2"/>
    <s v="Under Investigation"/>
    <s v="Low"/>
    <n v="2025"/>
    <n v="1"/>
    <s v="January"/>
    <s v="OK"/>
    <s v="Unique"/>
    <s v="Ready"/>
    <s v="Waberi - Burglary"/>
  </r>
  <r>
    <s v="CRM00055"/>
    <d v="2025-09-08T00:00:00"/>
    <s v="Traffic Offense"/>
    <s v="Waberi"/>
    <x v="0"/>
    <s v="Under Investigation"/>
    <s v="Low"/>
    <n v="2025"/>
    <n v="9"/>
    <s v="September"/>
    <s v="OK"/>
    <s v="Unique"/>
    <s v="Ready"/>
    <s v="Yaqshid - Assault"/>
  </r>
  <r>
    <s v="CRM00054"/>
    <d v="2025-07-11T00:00:00"/>
    <s v="Theft"/>
    <s v="Karan"/>
    <x v="0"/>
    <s v="Closed"/>
    <s v="Low"/>
    <n v="2025"/>
    <n v="7"/>
    <s v="July"/>
    <s v="OK"/>
    <s v="Unique"/>
    <s v="Ready"/>
    <s v="Waberi - Assault"/>
  </r>
  <r>
    <s v="CRM00053"/>
    <d v="2026-07-12T00:00:00"/>
    <s v="Robbery"/>
    <s v="Waberi"/>
    <x v="2"/>
    <s v="Closed"/>
    <s v="High"/>
    <n v="2026"/>
    <n v="7"/>
    <s v="July"/>
    <s v="OK"/>
    <s v="Unique"/>
    <s v="Ready"/>
    <s v="Waberi - Theft"/>
  </r>
  <r>
    <s v="CRM00052"/>
    <d v="2025-02-03T00:00:00"/>
    <s v="Robbery"/>
    <s v="Wadajir"/>
    <x v="2"/>
    <s v="Under Investigation"/>
    <s v="Medium"/>
    <n v="2025"/>
    <n v="2"/>
    <s v="February"/>
    <s v="OK"/>
    <s v="Unique"/>
    <s v="Ready"/>
    <s v="Hodan - Assault"/>
  </r>
  <r>
    <s v="CRM00051"/>
    <d v="2025-09-21T00:00:00"/>
    <s v="Assault"/>
    <s v="Daynile"/>
    <x v="2"/>
    <s v="Under Investigation"/>
    <s v="High"/>
    <n v="2025"/>
    <n v="9"/>
    <s v="September"/>
    <s v="OK"/>
    <s v="Unique"/>
    <s v="Ready"/>
    <s v="Wadajir - Traffic Offense"/>
  </r>
  <r>
    <s v="CRM00050"/>
    <d v="2026-07-27T00:00:00"/>
    <s v="Fraud"/>
    <s v="Yaqshid"/>
    <x v="0"/>
    <s v="Closed"/>
    <s v="Medium"/>
    <n v="2026"/>
    <n v="7"/>
    <s v="July"/>
    <s v="OK"/>
    <s v="Unique"/>
    <s v="Ready"/>
    <s v="Karan - Assault"/>
  </r>
  <r>
    <s v="CRM00049"/>
    <d v="2026-07-05T00:00:00"/>
    <s v="Burglary"/>
    <s v="Yaqshid"/>
    <x v="1"/>
    <s v="Under Investigation"/>
    <s v="Medium"/>
    <n v="2026"/>
    <n v="7"/>
    <s v="July"/>
    <s v="Needs Review"/>
    <s v="Unique"/>
    <s v="Review"/>
    <s v="Yaqshid - Theft"/>
  </r>
  <r>
    <s v="CRM00048"/>
    <d v="2026-07-12T00:00:00"/>
    <s v="Theft"/>
    <s v="Wadajir"/>
    <x v="2"/>
    <s v="Under Investigation"/>
    <s v="Medium"/>
    <n v="2026"/>
    <n v="7"/>
    <s v="July"/>
    <s v="OK"/>
    <s v="Unique"/>
    <s v="Ready"/>
    <s v="Hodan - Fraud"/>
  </r>
  <r>
    <s v="CRM00047"/>
    <d v="2025-12-17T00:00:00"/>
    <s v="Assault"/>
    <s v="Hodan"/>
    <x v="2"/>
    <s v="Under Investigation"/>
    <s v="High"/>
    <n v="2025"/>
    <n v="12"/>
    <s v="December"/>
    <s v="OK"/>
    <s v="Unique"/>
    <s v="Ready"/>
    <s v="Hodan - Burglary"/>
  </r>
  <r>
    <s v="CRM00046"/>
    <d v="2025-12-25T00:00:00"/>
    <s v="Fraud"/>
    <s v="Wadajir"/>
    <x v="1"/>
    <s v="Open"/>
    <s v="Medium"/>
    <n v="2025"/>
    <n v="12"/>
    <s v="December"/>
    <s v="Needs Review"/>
    <s v="Unique"/>
    <s v="Review"/>
    <s v="Wadajir - Theft"/>
  </r>
  <r>
    <s v="CRM00045"/>
    <d v="2025-09-22T00:00:00"/>
    <s v="Robbery"/>
    <s v="Hodan"/>
    <x v="0"/>
    <s v="Closed"/>
    <s v="High"/>
    <n v="2025"/>
    <n v="9"/>
    <s v="September"/>
    <s v="OK"/>
    <s v="Unique"/>
    <s v="Ready"/>
    <s v="Wadajir - Theft"/>
  </r>
  <r>
    <s v="CRM00044"/>
    <d v="2026-07-15T00:00:00"/>
    <s v="Traffic Offense"/>
    <s v="Wadajir"/>
    <x v="0"/>
    <s v="Open"/>
    <s v="Low"/>
    <n v="2026"/>
    <n v="7"/>
    <s v="July"/>
    <s v="OK"/>
    <s v="Unique"/>
    <s v="Ready"/>
    <s v="Wadajir - Assault"/>
  </r>
  <r>
    <s v="CRM00043"/>
    <d v="2025-07-10T00:00:00"/>
    <s v="Robbery"/>
    <s v="Hodan"/>
    <x v="2"/>
    <s v="Closed"/>
    <s v="High"/>
    <n v="2025"/>
    <n v="7"/>
    <s v="July"/>
    <s v="OK"/>
    <s v="Unique"/>
    <s v="Ready"/>
    <s v="Yaqshid - Robbery"/>
  </r>
  <r>
    <s v="CRM00042"/>
    <d v="2026-07-12T00:00:00"/>
    <s v="Fraud"/>
    <s v="Hodan"/>
    <x v="2"/>
    <s v="Open"/>
    <s v="Medium"/>
    <n v="2026"/>
    <n v="7"/>
    <s v="July"/>
    <s v="OK"/>
    <s v="Unique"/>
    <s v="Ready"/>
    <s v="Hodan - Robbery"/>
  </r>
  <r>
    <s v="CRM00041"/>
    <d v="2026-01-30T00:00:00"/>
    <s v="Theft"/>
    <s v="Yaqshid"/>
    <x v="2"/>
    <s v="Under Investigation"/>
    <s v="Medium"/>
    <n v="2026"/>
    <n v="1"/>
    <s v="January"/>
    <s v="OK"/>
    <s v="Unique"/>
    <s v="Ready"/>
    <s v="Wadajir - Fraud"/>
  </r>
  <r>
    <s v="CRM00040"/>
    <d v="2025-06-09T00:00:00"/>
    <s v="Theft"/>
    <s v="Karan"/>
    <x v="0"/>
    <s v="Under Investigation"/>
    <s v="Medium"/>
    <n v="2025"/>
    <n v="6"/>
    <s v="June"/>
    <s v="OK"/>
    <s v="Unique"/>
    <s v="Ready"/>
    <s v="Yaqshid - Burglary"/>
  </r>
  <r>
    <s v="CRM00039"/>
    <d v="2026-07-19T00:00:00"/>
    <s v="Fraud"/>
    <s v="Hodan"/>
    <x v="0"/>
    <s v="Under Investigation"/>
    <s v="Medium"/>
    <n v="2026"/>
    <n v="7"/>
    <s v="July"/>
    <s v="OK"/>
    <s v="Unique"/>
    <s v="Ready"/>
    <s v="Wadajir - Assault"/>
  </r>
  <r>
    <s v="CRM00038"/>
    <d v="2026-04-12T00:00:00"/>
    <s v="Theft"/>
    <s v="Hodan"/>
    <x v="0"/>
    <s v="Closed"/>
    <s v="Medium"/>
    <n v="2026"/>
    <n v="4"/>
    <s v="April"/>
    <s v="OK"/>
    <s v="Unique"/>
    <s v="Ready"/>
    <s v="Daynile - Fraud"/>
  </r>
  <r>
    <s v="CRM00037"/>
    <d v="2026-07-12T00:00:00"/>
    <s v="Traffic Offense"/>
    <s v="Waberi"/>
    <x v="0"/>
    <s v="Open"/>
    <s v="Low"/>
    <n v="2026"/>
    <n v="7"/>
    <s v="July"/>
    <s v="OK"/>
    <s v="Unique"/>
    <s v="Ready"/>
    <s v="Daynile - Theft"/>
  </r>
  <r>
    <s v="CRM00036"/>
    <d v="2026-07-12T00:00:00"/>
    <s v="Robbery"/>
    <s v="Hodan"/>
    <x v="0"/>
    <s v="Open"/>
    <s v="High"/>
    <n v="2026"/>
    <n v="7"/>
    <s v="July"/>
    <s v="OK"/>
    <s v="Unique"/>
    <s v="Ready"/>
    <s v="Yaqshid - Theft"/>
  </r>
  <r>
    <s v="CRM00035"/>
    <d v="2025-06-09T00:00:00"/>
    <s v="Traffic Offense"/>
    <s v="Karan"/>
    <x v="0"/>
    <s v="Under Investigation"/>
    <s v="Low"/>
    <n v="2025"/>
    <n v="6"/>
    <s v="June"/>
    <s v="OK"/>
    <s v="Unique"/>
    <s v="Ready"/>
    <s v="Yaqshid - Fraud"/>
  </r>
  <r>
    <s v="CRM00034"/>
    <d v="2026-04-06T00:00:00"/>
    <s v="Fraud"/>
    <s v="Hodan"/>
    <x v="0"/>
    <s v="Under Investigation"/>
    <s v="Medium"/>
    <n v="2026"/>
    <n v="4"/>
    <s v="April"/>
    <s v="OK"/>
    <s v="Unique"/>
    <s v="Ready"/>
    <s v="Hodan - Theft"/>
  </r>
  <r>
    <s v="CRM00033"/>
    <d v="2026-02-28T00:00:00"/>
    <s v="Robbery"/>
    <s v="Wadajir"/>
    <x v="2"/>
    <s v="Under Investigation"/>
    <s v="High"/>
    <n v="2026"/>
    <n v="2"/>
    <s v="February"/>
    <s v="OK"/>
    <s v="Unique"/>
    <s v="Ready"/>
    <s v="Karan - Theft"/>
  </r>
  <r>
    <s v="CRM00032"/>
    <d v="2025-08-28T00:00:00"/>
    <s v="Fraud"/>
    <s v="Wadajir"/>
    <x v="0"/>
    <s v="Open"/>
    <s v="Medium"/>
    <n v="2025"/>
    <n v="8"/>
    <s v="August"/>
    <s v="OK"/>
    <s v="Unique"/>
    <s v="Ready"/>
    <s v="Karan - Traffic Offense"/>
  </r>
  <r>
    <s v="CRM00031"/>
    <d v="2025-02-25T00:00:00"/>
    <s v="Fraud"/>
    <s v="Hodan"/>
    <x v="1"/>
    <s v="Open"/>
    <s v="Medium"/>
    <n v="2025"/>
    <n v="2"/>
    <s v="February"/>
    <s v="Needs Review"/>
    <s v="Unique"/>
    <s v="Review"/>
    <s v="Yaqshid - Traffic Offense"/>
  </r>
  <r>
    <s v="CRM00029"/>
    <d v="2025-08-10T00:00:00"/>
    <s v="Fraud"/>
    <s v="Yaqshid"/>
    <x v="0"/>
    <s v="Referred"/>
    <s v="Medium"/>
    <n v="2025"/>
    <n v="8"/>
    <s v="August"/>
    <s v="OK"/>
    <s v="Unique"/>
    <s v="Ready"/>
    <s v="Wadajir - Fraud"/>
  </r>
  <r>
    <s v="CRM00028"/>
    <d v="2025-02-14T00:00:00"/>
    <s v="Fraud"/>
    <s v="Yaqshid"/>
    <x v="0"/>
    <s v="Under Investigation"/>
    <s v="Medium"/>
    <n v="2025"/>
    <n v="2"/>
    <s v="February"/>
    <s v="OK"/>
    <s v="Unique"/>
    <s v="Ready"/>
    <s v="Daynile - Traffic Offense"/>
  </r>
  <r>
    <s v="CRM00027"/>
    <d v="2025-03-17T00:00:00"/>
    <s v="Assault"/>
    <s v="Hodan"/>
    <x v="0"/>
    <s v="Under Investigation"/>
    <s v="High"/>
    <n v="2025"/>
    <n v="3"/>
    <s v="March"/>
    <s v="OK"/>
    <s v="Unique"/>
    <s v="Ready"/>
    <s v="Wadajir - Robbery"/>
  </r>
  <r>
    <s v="CRM00026"/>
    <d v="2025-05-05T00:00:00"/>
    <s v="Theft"/>
    <s v="Hodan"/>
    <x v="0"/>
    <s v="Closed"/>
    <s v="Medium"/>
    <n v="2025"/>
    <n v="5"/>
    <s v="May"/>
    <s v="OK"/>
    <s v="Unique"/>
    <s v="Ready"/>
    <s v="Daynile - Assault"/>
  </r>
  <r>
    <s v="CRM00025"/>
    <d v="2025-04-27T00:00:00"/>
    <s v="Assault"/>
    <s v="Hodan"/>
    <x v="0"/>
    <s v="Closed"/>
    <s v="High"/>
    <n v="2025"/>
    <n v="4"/>
    <s v="April"/>
    <s v="OK"/>
    <s v="Unique"/>
    <s v="Ready"/>
    <s v="Yaqshid - Assault"/>
  </r>
  <r>
    <s v="CRM00024"/>
    <d v="2026-01-30T00:00:00"/>
    <s v="Robbery"/>
    <s v="Waberi"/>
    <x v="2"/>
    <s v="Under Investigation"/>
    <s v="High"/>
    <n v="2026"/>
    <n v="1"/>
    <s v="January"/>
    <s v="OK"/>
    <s v="Unique"/>
    <s v="Ready"/>
    <s v="Yaqshid - Fraud"/>
  </r>
  <r>
    <s v="CRM00023"/>
    <d v="2025-02-23T00:00:00"/>
    <s v="Robbery"/>
    <s v="Wadajir"/>
    <x v="0"/>
    <s v="Closed"/>
    <s v="High"/>
    <n v="2025"/>
    <n v="2"/>
    <s v="February"/>
    <s v="OK"/>
    <s v="Unique"/>
    <s v="Ready"/>
    <s v="Wadajir - Assault"/>
  </r>
  <r>
    <s v="CRM00022"/>
    <d v="2026-06-13T00:00:00"/>
    <s v="Traffic Offense"/>
    <s v="Waberi"/>
    <x v="0"/>
    <s v="Referred"/>
    <s v="Low"/>
    <n v="2026"/>
    <n v="6"/>
    <s v="June"/>
    <s v="OK"/>
    <s v="Unique"/>
    <s v="Ready"/>
    <s v="Yaqshid - Fraud"/>
  </r>
  <r>
    <s v="CRM00021"/>
    <d v="2025-11-10T00:00:00"/>
    <s v="Traffic Offense"/>
    <s v="Daynile"/>
    <x v="0"/>
    <s v="Closed"/>
    <s v="Low"/>
    <n v="2025"/>
    <n v="11"/>
    <s v="November"/>
    <s v="OK"/>
    <s v="Unique"/>
    <s v="Ready"/>
    <s v="Yaqshid - Burglary"/>
  </r>
  <r>
    <s v="CRM00020"/>
    <d v="2026-03-03T00:00:00"/>
    <s v="Assault"/>
    <s v="Hodan"/>
    <x v="0"/>
    <s v="Open"/>
    <s v="High"/>
    <n v="2026"/>
    <n v="3"/>
    <s v="March"/>
    <s v="OK"/>
    <s v="Unique"/>
    <s v="Ready"/>
    <s v="Waberi - Traffic Offense"/>
  </r>
  <r>
    <s v="CRM00019"/>
    <d v="2026-03-07T00:00:00"/>
    <s v="Fraud"/>
    <s v="Yaqshid"/>
    <x v="0"/>
    <s v="Referred"/>
    <s v="Medium"/>
    <n v="2026"/>
    <n v="3"/>
    <s v="March"/>
    <s v="OK"/>
    <s v="Unique"/>
    <s v="Ready"/>
    <s v="Karan - Traffic Offense"/>
  </r>
  <r>
    <s v="CRM00018"/>
    <d v="2025-06-08T00:00:00"/>
    <s v="Robbery"/>
    <s v="Yaqshid"/>
    <x v="0"/>
    <s v="Under Investigation"/>
    <s v="High"/>
    <n v="2025"/>
    <n v="6"/>
    <s v="June"/>
    <s v="OK"/>
    <s v="Unique"/>
    <s v="Ready"/>
    <s v="Wadajir - Theft"/>
  </r>
  <r>
    <s v="CRM00017"/>
    <d v="2025-10-02T00:00:00"/>
    <s v="Theft"/>
    <s v="Waberi"/>
    <x v="0"/>
    <s v="Under Investigation"/>
    <s v="Medium"/>
    <n v="2025"/>
    <n v="10"/>
    <s v="October"/>
    <s v="OK"/>
    <s v="Unique"/>
    <s v="Ready"/>
    <s v="Wadajir - Robbery"/>
  </r>
  <r>
    <s v="CRM00016"/>
    <d v="2025-05-05T00:00:00"/>
    <s v="Robbery"/>
    <s v="Waberi"/>
    <x v="0"/>
    <s v="Under Investigation"/>
    <s v="High"/>
    <n v="2025"/>
    <n v="5"/>
    <s v="May"/>
    <s v="OK"/>
    <s v="Unique"/>
    <s v="Ready"/>
    <s v="Waberi - Traffic Offense"/>
  </r>
  <r>
    <s v="CRM00015"/>
    <d v="2025-07-20T00:00:00"/>
    <s v="Fraud"/>
    <s v="Yaqshid"/>
    <x v="0"/>
    <s v="Open"/>
    <s v="Medium"/>
    <n v="2025"/>
    <n v="7"/>
    <s v="July"/>
    <s v="OK"/>
    <s v="Unique"/>
    <s v="Ready"/>
    <s v="Yaqshid - Theft"/>
  </r>
  <r>
    <s v="CRM00014"/>
    <d v="2026-06-30T00:00:00"/>
    <s v="Assault"/>
    <s v="Yaqshid"/>
    <x v="1"/>
    <s v="Closed"/>
    <s v="High"/>
    <n v="2026"/>
    <n v="6"/>
    <s v="June"/>
    <s v="Needs Review"/>
    <s v="Unique"/>
    <s v="Review"/>
    <s v="Wadajir - Robbery"/>
  </r>
  <r>
    <s v="CRM00013"/>
    <d v="2025-09-01T00:00:00"/>
    <s v="Theft"/>
    <s v="Daynile"/>
    <x v="2"/>
    <s v="Referred"/>
    <s v="Medium"/>
    <n v="2025"/>
    <n v="9"/>
    <s v="September"/>
    <s v="OK"/>
    <s v="Unique"/>
    <s v="Ready"/>
    <s v="Hodan - Traffic Offense"/>
  </r>
  <r>
    <s v="CRM00012"/>
    <d v="2025-08-03T00:00:00"/>
    <s v="Fraud"/>
    <s v="Daynile"/>
    <x v="2"/>
    <s v="Open"/>
    <s v="Medium"/>
    <n v="2025"/>
    <n v="8"/>
    <s v="August"/>
    <s v="OK"/>
    <s v="Unique"/>
    <s v="Ready"/>
    <s v="Yaqshid - Fraud"/>
  </r>
  <r>
    <s v="CRM00011"/>
    <d v="2026-07-28T00:00:00"/>
    <s v="Robbery"/>
    <s v="Waberi"/>
    <x v="1"/>
    <s v="Open"/>
    <s v="High"/>
    <n v="2026"/>
    <n v="7"/>
    <s v="July"/>
    <s v="Needs Review"/>
    <s v="Unique"/>
    <s v="Review"/>
    <s v="Wadajir - Assault"/>
  </r>
  <r>
    <s v="CRM00010"/>
    <d v="2025-11-06T00:00:00"/>
    <s v="Assault"/>
    <s v="Hodan"/>
    <x v="0"/>
    <s v="Under Investigation"/>
    <s v="High"/>
    <n v="2025"/>
    <n v="11"/>
    <s v="November"/>
    <s v="OK"/>
    <s v="Unique"/>
    <s v="Ready"/>
    <s v="Hodan - Burglary"/>
  </r>
  <r>
    <s v="CRM00009"/>
    <d v="2026-07-25T00:00:00"/>
    <s v="Fraud"/>
    <s v="Hodan"/>
    <x v="2"/>
    <s v="Open"/>
    <s v="Medium"/>
    <n v="2026"/>
    <n v="7"/>
    <s v="July"/>
    <s v="OK"/>
    <s v="Unique"/>
    <s v="Ready"/>
    <s v="Yaqshid - Robbery"/>
  </r>
  <r>
    <s v="CRM00008"/>
    <d v="2025-04-07T00:00:00"/>
    <s v="Theft"/>
    <s v="Hodan"/>
    <x v="1"/>
    <s v="Under Investigation"/>
    <s v="Medium"/>
    <n v="2025"/>
    <n v="4"/>
    <s v="April"/>
    <s v="Needs Review"/>
    <s v="Unique"/>
    <s v="Review"/>
    <s v="Hodan - Theft"/>
  </r>
  <r>
    <s v="CRM00007"/>
    <d v="2025-07-18T00:00:00"/>
    <s v="Fraud"/>
    <s v="Yaqshid"/>
    <x v="2"/>
    <s v="Closed"/>
    <s v="Medium"/>
    <n v="2025"/>
    <n v="7"/>
    <s v="July"/>
    <s v="OK"/>
    <s v="Unique"/>
    <s v="Ready"/>
    <s v="Daynile - Fraud"/>
  </r>
  <r>
    <s v="CRM00006"/>
    <d v="2025-11-27T00:00:00"/>
    <s v="Theft"/>
    <s v="Waberi"/>
    <x v="2"/>
    <s v="Open"/>
    <s v="Medium"/>
    <n v="2025"/>
    <n v="11"/>
    <s v="November"/>
    <s v="OK"/>
    <s v="Unique"/>
    <s v="Ready"/>
    <s v="Yaqshid - Fraud"/>
  </r>
  <r>
    <s v="CRM00005"/>
    <d v="2025-09-26T00:00:00"/>
    <s v="Assault"/>
    <s v="Hodan"/>
    <x v="0"/>
    <s v="Open"/>
    <s v="High"/>
    <n v="2025"/>
    <n v="9"/>
    <s v="September"/>
    <s v="OK"/>
    <s v="Unique"/>
    <s v="Ready"/>
    <s v="Hodan - Robbery"/>
  </r>
  <r>
    <s v="CRM00004"/>
    <d v="2026-07-07T00:00:00"/>
    <s v="Theft"/>
    <s v="Karan"/>
    <x v="0"/>
    <s v="Open"/>
    <s v="Medium"/>
    <n v="2026"/>
    <n v="7"/>
    <s v="July"/>
    <s v="OK"/>
    <s v="Unique"/>
    <s v="Ready"/>
    <s v="Hodan - Fraud"/>
  </r>
  <r>
    <s v="CRM00003"/>
    <d v="2025-05-20T00:00:00"/>
    <s v="Burglary"/>
    <s v="Waberi"/>
    <x v="0"/>
    <s v="Open"/>
    <s v="Medium"/>
    <n v="2025"/>
    <n v="5"/>
    <s v="May"/>
    <s v="OK"/>
    <s v="Unique"/>
    <s v="Ready"/>
    <s v="Hodan - Traffic Offense"/>
  </r>
  <r>
    <s v="CRM00002"/>
    <d v="2025-10-02T00:00:00"/>
    <s v="Assault"/>
    <s v="Wadajir"/>
    <x v="2"/>
    <s v="Open"/>
    <s v="High"/>
    <n v="2025"/>
    <n v="10"/>
    <s v="October"/>
    <s v="OK"/>
    <s v="Unique"/>
    <s v="Ready"/>
    <s v="Wadajir - Theft"/>
  </r>
  <r>
    <s v="CRM00001"/>
    <d v="2025-07-10T00:00:00"/>
    <s v="Fraud"/>
    <s v="Hodan"/>
    <x v="0"/>
    <s v="Under Investigation"/>
    <s v="Medium"/>
    <n v="2025"/>
    <n v="7"/>
    <s v="July"/>
    <s v="OK"/>
    <s v="Unique"/>
    <s v="Ready"/>
    <s v="Hodan - Theft"/>
  </r>
  <r>
    <m/>
    <m/>
    <s v="Traffic Offense"/>
    <s v="Hodan"/>
    <x v="2"/>
    <s v="Open"/>
    <s v="High"/>
    <s v=""/>
    <s v=""/>
    <s v=""/>
    <s v="Needs Review"/>
    <s v="Unique"/>
    <s v="Review"/>
    <s v="Hodan - Traffic Offense"/>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s v="CRM001"/>
    <d v="2026-07-12T00:00:00"/>
    <s v="Assault"/>
    <s v="Waberi"/>
    <s v="Male"/>
    <x v="0"/>
    <s v="High"/>
    <n v="2026"/>
    <n v="7"/>
    <s v="July"/>
    <s v="OK"/>
    <s v="Unique"/>
    <s v="Ready"/>
    <s v="Hodan - Traffic Offense"/>
  </r>
  <r>
    <s v="CRM002"/>
    <d v="2025-06-14T00:00:00"/>
    <s v="Robbery"/>
    <s v="Hodan"/>
    <s v="Unknown"/>
    <x v="1"/>
    <s v="High"/>
    <n v="2025"/>
    <n v="6"/>
    <s v="June"/>
    <s v="Needs Review"/>
    <s v="Unique"/>
    <s v="Review"/>
    <s v="Karan - Assault"/>
  </r>
  <r>
    <s v="CRM003"/>
    <d v="2025-12-26T00:00:00"/>
    <s v="Robbery"/>
    <s v="Daynile"/>
    <s v="Male"/>
    <x v="0"/>
    <s v="High"/>
    <n v="2025"/>
    <n v="12"/>
    <s v="December"/>
    <s v="OK"/>
    <s v="Unique"/>
    <s v="Ready"/>
    <s v="Hodan - Burglary"/>
  </r>
  <r>
    <s v="CRM004"/>
    <d v="2025-06-24T00:00:00"/>
    <s v="Assault"/>
    <s v="Yaqshid"/>
    <s v="Female"/>
    <x v="2"/>
    <s v="High"/>
    <n v="2025"/>
    <n v="6"/>
    <s v="June"/>
    <s v="OK"/>
    <s v="Unique"/>
    <s v="Ready"/>
    <s v="Hodan - Fraud"/>
  </r>
  <r>
    <s v="CRM005"/>
    <d v="2026-01-23T00:00:00"/>
    <s v="Assault"/>
    <s v="Daynile"/>
    <s v="Male"/>
    <x v="3"/>
    <s v="High"/>
    <n v="2026"/>
    <n v="1"/>
    <s v="January"/>
    <s v="OK"/>
    <s v="Unique"/>
    <s v="Ready"/>
    <s v="Wadajir - Assault"/>
  </r>
  <r>
    <s v="CRM006"/>
    <d v="2026-01-17T00:00:00"/>
    <s v="Robbery"/>
    <s v="Daynile"/>
    <s v="Male"/>
    <x v="1"/>
    <s v="High"/>
    <n v="2026"/>
    <n v="1"/>
    <s v="January"/>
    <s v="OK"/>
    <s v="Unique"/>
    <s v="Ready"/>
    <s v="Hodan - Assault"/>
  </r>
  <r>
    <s v="CRM007"/>
    <d v="2026-05-17T00:00:00"/>
    <s v="Theft"/>
    <s v="Wadajir"/>
    <s v="Male"/>
    <x v="3"/>
    <s v="Medium"/>
    <n v="2026"/>
    <n v="5"/>
    <s v="May"/>
    <s v="OK"/>
    <s v="Unique"/>
    <s v="Ready"/>
    <s v="Yaqshid - Theft"/>
  </r>
  <r>
    <s v="CRM008"/>
    <d v="2025-07-12T00:00:00"/>
    <s v="Traffic Offense"/>
    <s v="Daynile"/>
    <s v="Female"/>
    <x v="1"/>
    <s v="Low"/>
    <n v="2025"/>
    <n v="7"/>
    <s v="July"/>
    <s v="OK"/>
    <s v="Unique"/>
    <s v="Ready"/>
    <s v="Yaqshid - Fraud"/>
  </r>
  <r>
    <s v="CRM009"/>
    <d v="2026-07-01T00:00:00"/>
    <s v="Theft"/>
    <s v="Wadajir"/>
    <s v="Male"/>
    <x v="0"/>
    <s v="Medium"/>
    <n v="2026"/>
    <n v="7"/>
    <s v="July"/>
    <s v="OK"/>
    <s v="Unique"/>
    <s v="Ready"/>
    <s v="Waberi - Robbery"/>
  </r>
  <r>
    <s v="CRM010"/>
    <d v="2026-02-10T00:00:00"/>
    <s v="Robbery"/>
    <s v="Daynile"/>
    <s v="Female"/>
    <x v="3"/>
    <s v="High"/>
    <n v="2026"/>
    <n v="2"/>
    <s v="February"/>
    <s v="OK"/>
    <s v="Unique"/>
    <s v="Ready"/>
    <s v="Hodan - Theft"/>
  </r>
  <r>
    <s v="CRM011"/>
    <d v="2025-04-01T00:00:00"/>
    <s v="Burglary"/>
    <s v="Waberi"/>
    <s v="Female"/>
    <x v="3"/>
    <s v="Medium"/>
    <n v="2025"/>
    <n v="4"/>
    <s v="April"/>
    <s v="OK"/>
    <s v="Unique"/>
    <s v="Ready"/>
    <s v="Daynile - Traffic Offense"/>
  </r>
  <r>
    <s v="CRM012"/>
    <d v="2026-05-19T00:00:00"/>
    <s v="Traffic Offense"/>
    <s v="Hodan"/>
    <s v="Female"/>
    <x v="0"/>
    <s v="Low"/>
    <n v="2026"/>
    <n v="5"/>
    <s v="May"/>
    <s v="OK"/>
    <s v="Unique"/>
    <s v="Ready"/>
    <s v="Waberi - Robbery"/>
  </r>
  <r>
    <s v="CRM013"/>
    <d v="2026-01-28T00:00:00"/>
    <s v="Theft"/>
    <s v="Wadajir"/>
    <s v="Male"/>
    <x v="1"/>
    <s v="Medium"/>
    <n v="2026"/>
    <n v="1"/>
    <s v="January"/>
    <s v="OK"/>
    <s v="Unique"/>
    <s v="Ready"/>
    <s v="Hodan - Assault"/>
  </r>
  <r>
    <s v="CRM014"/>
    <d v="2025-10-21T00:00:00"/>
    <s v="Fraud"/>
    <s v="Karan"/>
    <s v="Male"/>
    <x v="0"/>
    <s v="Medium"/>
    <n v="2025"/>
    <n v="10"/>
    <s v="October"/>
    <s v="OK"/>
    <s v="Unique"/>
    <s v="Ready"/>
    <s v="Daynile - Traffic Offense"/>
  </r>
  <r>
    <s v="CRM015"/>
    <d v="2025-12-01T00:00:00"/>
    <s v="Fraud"/>
    <s v="Yaqshid"/>
    <s v="Male"/>
    <x v="1"/>
    <s v="Medium"/>
    <n v="2025"/>
    <n v="12"/>
    <s v="December"/>
    <s v="OK"/>
    <s v="Unique"/>
    <s v="Ready"/>
    <s v="Yaqshid - Fraud"/>
  </r>
  <r>
    <s v="CRM00292"/>
    <d v="2025-09-12T00:00:00"/>
    <s v="Robbery"/>
    <s v="Wadajir"/>
    <s v="Male"/>
    <x v="1"/>
    <s v="High"/>
    <n v="2025"/>
    <n v="9"/>
    <s v="September"/>
    <s v="OK"/>
    <s v="Unique"/>
    <s v="Ready"/>
    <s v="Hodan - Assault"/>
  </r>
  <r>
    <s v="CRM00291"/>
    <d v="2026-06-03T00:00:00"/>
    <s v="Theft"/>
    <s v="Waberi"/>
    <s v="Male"/>
    <x v="3"/>
    <s v="Medium"/>
    <n v="2026"/>
    <n v="6"/>
    <s v="June"/>
    <s v="OK"/>
    <s v="Unique"/>
    <s v="Ready"/>
    <s v="Yaqshid - Theft"/>
  </r>
  <r>
    <s v="CRM00290"/>
    <d v="2025-02-26T00:00:00"/>
    <s v="Burglary"/>
    <s v="Hodan"/>
    <s v="Male"/>
    <x v="1"/>
    <s v="Medium"/>
    <n v="2025"/>
    <n v="2"/>
    <s v="February"/>
    <s v="OK"/>
    <s v="Unique"/>
    <s v="Ready"/>
    <s v="Hodan - Robbery"/>
  </r>
  <r>
    <s v="CRM00289"/>
    <d v="2026-02-06T00:00:00"/>
    <s v="Fraud"/>
    <s v="Wadajir"/>
    <s v="Male"/>
    <x v="0"/>
    <s v="Medium"/>
    <n v="2026"/>
    <n v="2"/>
    <s v="February"/>
    <s v="OK"/>
    <s v="Unique"/>
    <s v="Ready"/>
    <s v="Karan - Theft"/>
  </r>
  <r>
    <s v="CRM00288"/>
    <d v="2025-11-22T00:00:00"/>
    <s v="Fraud"/>
    <s v="Karan"/>
    <s v="Female"/>
    <x v="1"/>
    <s v="Medium"/>
    <n v="2025"/>
    <n v="11"/>
    <s v="November"/>
    <s v="OK"/>
    <s v="Unique"/>
    <s v="Ready"/>
    <s v="Wadajir - Burglary"/>
  </r>
  <r>
    <s v="CRM00287"/>
    <d v="2025-03-20T00:00:00"/>
    <s v="Robbery"/>
    <s v="Daynile"/>
    <s v="Female"/>
    <x v="3"/>
    <s v="High"/>
    <n v="2025"/>
    <n v="3"/>
    <s v="March"/>
    <s v="OK"/>
    <s v="Unique"/>
    <s v="Ready"/>
    <s v="Karan - Theft"/>
  </r>
  <r>
    <s v="CRM00286"/>
    <d v="2025-01-23T00:00:00"/>
    <s v="Fraud"/>
    <s v="Wadajir"/>
    <s v="Unknown"/>
    <x v="1"/>
    <s v="Medium"/>
    <n v="2025"/>
    <n v="1"/>
    <s v="January"/>
    <s v="Needs Review"/>
    <s v="Unique"/>
    <s v="Review"/>
    <s v="Karan - Theft"/>
  </r>
  <r>
    <s v="CRM00285"/>
    <d v="2025-08-13T00:00:00"/>
    <s v="Assault"/>
    <s v="Daynile"/>
    <s v="Unknown"/>
    <x v="1"/>
    <s v="High"/>
    <n v="2025"/>
    <n v="8"/>
    <s v="August"/>
    <s v="Needs Review"/>
    <s v="Unique"/>
    <s v="Review"/>
    <s v="Yaqshid - Theft"/>
  </r>
  <r>
    <s v="CRM00284"/>
    <d v="2025-10-03T00:00:00"/>
    <s v="Robbery"/>
    <s v="Yaqshid"/>
    <s v="Unknown"/>
    <x v="3"/>
    <s v="High"/>
    <n v="2025"/>
    <n v="10"/>
    <s v="October"/>
    <s v="Needs Review"/>
    <s v="Unique"/>
    <s v="Review"/>
    <s v="Waberi - Assault"/>
  </r>
  <r>
    <s v="CRM00283"/>
    <d v="2025-10-15T00:00:00"/>
    <s v="Traffic Offense"/>
    <s v="Daynile"/>
    <s v="Male"/>
    <x v="1"/>
    <s v="Low"/>
    <n v="2025"/>
    <n v="10"/>
    <s v="October"/>
    <s v="OK"/>
    <s v="Unique"/>
    <s v="Ready"/>
    <s v="Yaqshid - Theft"/>
  </r>
  <r>
    <s v="CRM00282"/>
    <d v="2025-06-17T00:00:00"/>
    <s v="Assault"/>
    <s v="Hodan"/>
    <s v="Male"/>
    <x v="0"/>
    <s v="High"/>
    <n v="2025"/>
    <n v="6"/>
    <s v="June"/>
    <s v="OK"/>
    <s v="Unique"/>
    <s v="Ready"/>
    <s v="Daynile - Assault"/>
  </r>
  <r>
    <s v="CRM00281"/>
    <d v="2025-09-15T00:00:00"/>
    <s v="Burglary"/>
    <s v="Yaqshid"/>
    <s v="Male"/>
    <x v="3"/>
    <s v="Medium"/>
    <n v="2025"/>
    <n v="9"/>
    <s v="September"/>
    <s v="OK"/>
    <s v="Unique"/>
    <s v="Ready"/>
    <s v="Waberi - Assault"/>
  </r>
  <r>
    <s v="CRM00280"/>
    <d v="2025-07-06T00:00:00"/>
    <s v="Theft"/>
    <s v="Wadajir"/>
    <s v="Female"/>
    <x v="1"/>
    <s v="Medium"/>
    <n v="2025"/>
    <n v="7"/>
    <s v="July"/>
    <s v="OK"/>
    <s v="Unique"/>
    <s v="Ready"/>
    <s v="Daynile - Theft"/>
  </r>
  <r>
    <s v="CRM00279"/>
    <d v="2025-12-14T00:00:00"/>
    <s v="Burglary"/>
    <s v="Karan"/>
    <s v="Male"/>
    <x v="3"/>
    <s v="Medium"/>
    <n v="2025"/>
    <n v="12"/>
    <s v="December"/>
    <s v="OK"/>
    <s v="Unique"/>
    <s v="Ready"/>
    <s v="Hodan - Theft"/>
  </r>
  <r>
    <s v="CRM00278"/>
    <d v="2026-07-12T00:00:00"/>
    <s v="Robbery"/>
    <s v="Daynile"/>
    <s v="Male"/>
    <x v="1"/>
    <s v="High"/>
    <n v="2026"/>
    <n v="7"/>
    <s v="July"/>
    <s v="OK"/>
    <s v="Unique"/>
    <s v="Ready"/>
    <s v="Hodan - Assault"/>
  </r>
  <r>
    <s v="CRM00277"/>
    <d v="2026-07-12T00:00:00"/>
    <s v="Theft"/>
    <s v="Yaqshid"/>
    <s v="Male"/>
    <x v="1"/>
    <s v="Medium"/>
    <n v="2026"/>
    <n v="7"/>
    <s v="July"/>
    <s v="OK"/>
    <s v="Unique"/>
    <s v="Ready"/>
    <s v="Waberi - Robbery"/>
  </r>
  <r>
    <s v="CRM00276"/>
    <d v="2026-01-15T00:00:00"/>
    <s v="Theft"/>
    <s v="Hodan"/>
    <s v="Male"/>
    <x v="3"/>
    <s v="Medium"/>
    <n v="2026"/>
    <n v="1"/>
    <s v="January"/>
    <s v="OK"/>
    <s v="Unique"/>
    <s v="Ready"/>
    <s v="Karan - Robbery"/>
  </r>
  <r>
    <s v="CRM00275"/>
    <d v="2026-05-20T00:00:00"/>
    <s v="Theft"/>
    <s v="Daynile"/>
    <s v="Male"/>
    <x v="1"/>
    <s v="Medium"/>
    <n v="2026"/>
    <n v="5"/>
    <s v="May"/>
    <s v="OK"/>
    <s v="Unique"/>
    <s v="Ready"/>
    <s v="Daynile - Theft"/>
  </r>
  <r>
    <s v="CRM00274"/>
    <d v="2025-08-08T00:00:00"/>
    <s v="Theft"/>
    <s v="Hodan"/>
    <s v="Male"/>
    <x v="1"/>
    <s v="Medium"/>
    <n v="2025"/>
    <n v="8"/>
    <s v="August"/>
    <s v="OK"/>
    <s v="Unique"/>
    <s v="Ready"/>
    <s v="Wadajir - Assault"/>
  </r>
  <r>
    <s v="CRM00273"/>
    <d v="2025-09-15T00:00:00"/>
    <s v="Theft"/>
    <s v="Karan"/>
    <s v="Male"/>
    <x v="0"/>
    <s v="Medium"/>
    <n v="2025"/>
    <n v="9"/>
    <s v="September"/>
    <s v="OK"/>
    <s v="Unique"/>
    <s v="Ready"/>
    <s v="Karan - Assault"/>
  </r>
  <r>
    <s v="CRM00272"/>
    <d v="2026-04-08T00:00:00"/>
    <s v="Assault"/>
    <s v="Hodan"/>
    <s v="Unknown"/>
    <x v="1"/>
    <s v="Low"/>
    <n v="2026"/>
    <n v="4"/>
    <s v="April"/>
    <s v="Needs Review"/>
    <s v="Unique"/>
    <s v="Review"/>
    <s v="Karan - Theft"/>
  </r>
  <r>
    <s v="CRM00271"/>
    <d v="2026-07-12T00:00:00"/>
    <s v="Assault"/>
    <s v="Karan"/>
    <s v="Male"/>
    <x v="1"/>
    <s v="High"/>
    <n v="2026"/>
    <n v="7"/>
    <s v="July"/>
    <s v="OK"/>
    <s v="Unique"/>
    <s v="Ready"/>
    <s v="Hodan - Assault"/>
  </r>
  <r>
    <s v="CRM00270"/>
    <d v="2026-02-05T00:00:00"/>
    <s v="Theft"/>
    <s v="Wadajir"/>
    <s v="Female"/>
    <x v="1"/>
    <s v="Medium"/>
    <n v="2026"/>
    <n v="2"/>
    <s v="February"/>
    <s v="OK"/>
    <s v="Unique"/>
    <s v="Ready"/>
    <s v="Hodan - Assault"/>
  </r>
  <r>
    <s v="CRM00269"/>
    <d v="2025-10-20T00:00:00"/>
    <s v="Robbery"/>
    <s v="Wadajir"/>
    <s v="Male"/>
    <x v="1"/>
    <s v="High"/>
    <n v="2025"/>
    <n v="10"/>
    <s v="October"/>
    <s v="OK"/>
    <s v="Unique"/>
    <s v="Ready"/>
    <s v="Waberi - Theft"/>
  </r>
  <r>
    <s v="CRM00268"/>
    <d v="2026-01-21T00:00:00"/>
    <s v="Assault"/>
    <s v="Karan"/>
    <s v="Male"/>
    <x v="2"/>
    <s v="High"/>
    <n v="2026"/>
    <n v="1"/>
    <s v="January"/>
    <s v="OK"/>
    <s v="Unique"/>
    <s v="Ready"/>
    <s v="Hodan - Theft"/>
  </r>
  <r>
    <s v="CRM00267"/>
    <d v="2026-07-12T00:00:00"/>
    <s v="Assault"/>
    <s v="Hodan"/>
    <s v="Unknown"/>
    <x v="3"/>
    <s v="High"/>
    <n v="2026"/>
    <n v="7"/>
    <s v="July"/>
    <s v="Needs Review"/>
    <s v="Unique"/>
    <s v="Review"/>
    <s v="Wadajir - Theft"/>
  </r>
  <r>
    <s v="CRM00266"/>
    <d v="2025-05-04T00:00:00"/>
    <s v="Fraud"/>
    <s v="Hodan"/>
    <s v="Male"/>
    <x v="1"/>
    <s v="Medium"/>
    <n v="2025"/>
    <n v="5"/>
    <s v="May"/>
    <s v="OK"/>
    <s v="Unique"/>
    <s v="Ready"/>
    <s v="Hodan - Assault"/>
  </r>
  <r>
    <s v="CRM00265"/>
    <d v="2025-02-17T00:00:00"/>
    <s v="Fraud"/>
    <s v="Wadajir"/>
    <s v="Male"/>
    <x v="3"/>
    <s v="Medium"/>
    <n v="2025"/>
    <n v="2"/>
    <s v="February"/>
    <s v="OK"/>
    <s v="Unique"/>
    <s v="Ready"/>
    <s v="Daynile - Robbery"/>
  </r>
  <r>
    <s v="CRM00264"/>
    <d v="2025-04-28T00:00:00"/>
    <s v="Burglary"/>
    <s v="Hodan"/>
    <s v="Male"/>
    <x v="1"/>
    <s v="Medium"/>
    <n v="2025"/>
    <n v="4"/>
    <s v="April"/>
    <s v="OK"/>
    <s v="Unique"/>
    <s v="Ready"/>
    <s v="Karan - Burglary"/>
  </r>
  <r>
    <s v="CRM00263"/>
    <d v="2025-01-07T00:00:00"/>
    <s v="Burglary"/>
    <s v="Hodan"/>
    <s v="Female"/>
    <x v="0"/>
    <s v="Medium"/>
    <n v="2025"/>
    <n v="1"/>
    <s v="January"/>
    <s v="OK"/>
    <s v="Unique"/>
    <s v="Ready"/>
    <s v="Karan - Traffic Offense"/>
  </r>
  <r>
    <s v="CRM00262"/>
    <d v="2026-01-20T00:00:00"/>
    <s v="Assault"/>
    <s v="Wadajir"/>
    <s v="Female"/>
    <x v="1"/>
    <s v="Medium"/>
    <n v="2026"/>
    <n v="1"/>
    <s v="January"/>
    <s v="OK"/>
    <s v="Unique"/>
    <s v="Ready"/>
    <s v="Hodan - Burglary"/>
  </r>
  <r>
    <s v="CRM00261"/>
    <d v="2025-02-27T00:00:00"/>
    <s v="Theft"/>
    <s v="Yaqshid"/>
    <s v="Male"/>
    <x v="2"/>
    <s v="Medium"/>
    <n v="2025"/>
    <n v="2"/>
    <s v="February"/>
    <s v="OK"/>
    <s v="Unique"/>
    <s v="Ready"/>
    <s v="Hodan - Fraud"/>
  </r>
  <r>
    <s v="CRM00260"/>
    <d v="2025-08-02T00:00:00"/>
    <s v="Theft"/>
    <s v="Waberi"/>
    <s v="Male"/>
    <x v="0"/>
    <s v="Medium"/>
    <n v="2025"/>
    <n v="8"/>
    <s v="August"/>
    <s v="OK"/>
    <s v="Unique"/>
    <s v="Ready"/>
    <s v="Karan - Robbery"/>
  </r>
  <r>
    <s v="CRM00259"/>
    <d v="2026-06-05T00:00:00"/>
    <s v="Robbery"/>
    <s v="Karan"/>
    <s v="Male"/>
    <x v="3"/>
    <s v="High"/>
    <n v="2026"/>
    <n v="6"/>
    <s v="June"/>
    <s v="OK"/>
    <s v="Unique"/>
    <s v="Ready"/>
    <s v="Daynile - Theft"/>
  </r>
  <r>
    <s v="CRM00258"/>
    <d v="2026-07-12T00:00:00"/>
    <s v="Assault"/>
    <s v="Wadajir"/>
    <s v="Male"/>
    <x v="1"/>
    <s v="High"/>
    <n v="2026"/>
    <n v="7"/>
    <s v="July"/>
    <s v="OK"/>
    <s v="Unique"/>
    <s v="Ready"/>
    <s v="Hodan - Assault"/>
  </r>
  <r>
    <s v="CRM00257"/>
    <d v="2026-05-07T00:00:00"/>
    <s v="Theft"/>
    <s v="Wadajir"/>
    <s v="Male"/>
    <x v="3"/>
    <s v="Medium"/>
    <n v="2026"/>
    <n v="5"/>
    <s v="May"/>
    <s v="OK"/>
    <s v="Unique"/>
    <s v="Ready"/>
    <s v="Karan - Theft"/>
  </r>
  <r>
    <s v="CRM00256"/>
    <d v="2026-07-12T00:00:00"/>
    <s v="Theft"/>
    <s v="Waberi"/>
    <s v="Male"/>
    <x v="0"/>
    <s v="Medium"/>
    <n v="2026"/>
    <n v="7"/>
    <s v="July"/>
    <s v="OK"/>
    <s v="Unique"/>
    <s v="Ready"/>
    <s v="Daynile - Fraud"/>
  </r>
  <r>
    <s v="CRM00255"/>
    <d v="2026-02-03T00:00:00"/>
    <s v="Fraud"/>
    <s v="Wadajir"/>
    <s v="Male"/>
    <x v="0"/>
    <s v="Medium"/>
    <n v="2026"/>
    <n v="2"/>
    <s v="February"/>
    <s v="OK"/>
    <s v="Unique"/>
    <s v="Ready"/>
    <s v="Yaqshid - Traffic Offense"/>
  </r>
  <r>
    <s v="CRM00254"/>
    <d v="2026-07-12T00:00:00"/>
    <s v="Theft"/>
    <s v="Karan"/>
    <s v="Male"/>
    <x v="0"/>
    <s v="High"/>
    <n v="2026"/>
    <n v="7"/>
    <s v="July"/>
    <s v="OK"/>
    <s v="Unique"/>
    <s v="Ready"/>
    <s v="Wadajir - Robbery"/>
  </r>
  <r>
    <s v="CRM00253"/>
    <d v="2026-01-13T00:00:00"/>
    <s v="Fraud"/>
    <s v="Hodan"/>
    <s v="Female"/>
    <x v="1"/>
    <s v="Medium"/>
    <n v="2026"/>
    <n v="1"/>
    <s v="January"/>
    <s v="OK"/>
    <s v="Unique"/>
    <s v="Ready"/>
    <s v="Wadajir - Robbery"/>
  </r>
  <r>
    <s v="CRM00252"/>
    <d v="2026-04-24T00:00:00"/>
    <s v="Assault"/>
    <s v="Hodan"/>
    <s v="Unknown"/>
    <x v="1"/>
    <s v="High"/>
    <n v="2026"/>
    <n v="4"/>
    <s v="April"/>
    <s v="Needs Review"/>
    <s v="Unique"/>
    <s v="Review"/>
    <s v="Karan - Burglary"/>
  </r>
  <r>
    <s v="CRM00251"/>
    <d v="2026-02-15T00:00:00"/>
    <s v="Robbery"/>
    <s v="Hodan"/>
    <s v="Female"/>
    <x v="1"/>
    <s v="High"/>
    <n v="2026"/>
    <n v="2"/>
    <s v="February"/>
    <s v="OK"/>
    <s v="Unique"/>
    <s v="Ready"/>
    <s v="Daynile - Robbery"/>
  </r>
  <r>
    <s v="CRM00250"/>
    <d v="2025-01-22T00:00:00"/>
    <s v="Traffic Offense"/>
    <s v="Hodan"/>
    <s v="Female"/>
    <x v="1"/>
    <s v="Low"/>
    <n v="2025"/>
    <n v="1"/>
    <s v="January"/>
    <s v="OK"/>
    <s v="Unique"/>
    <s v="Ready"/>
    <s v="Daynile - Assault"/>
  </r>
  <r>
    <s v="CRM00249"/>
    <d v="2026-01-28T00:00:00"/>
    <s v="Assault"/>
    <s v="Daynile"/>
    <s v="Male"/>
    <x v="3"/>
    <s v="High"/>
    <n v="2026"/>
    <n v="1"/>
    <s v="January"/>
    <s v="OK"/>
    <s v="Unique"/>
    <s v="Ready"/>
    <s v="Hodan - Theft"/>
  </r>
  <r>
    <s v="CRM00248"/>
    <d v="2025-07-22T00:00:00"/>
    <s v="Burglary"/>
    <s v="Wadajir"/>
    <s v="Female"/>
    <x v="3"/>
    <s v="Medium"/>
    <n v="2025"/>
    <n v="7"/>
    <s v="July"/>
    <s v="OK"/>
    <s v="Unique"/>
    <s v="Ready"/>
    <s v="Waberi - Traffic Offense"/>
  </r>
  <r>
    <s v="CRM00247"/>
    <d v="2025-04-17T00:00:00"/>
    <s v="Robbery"/>
    <s v="Yaqshid"/>
    <s v="Male"/>
    <x v="1"/>
    <s v="High"/>
    <n v="2025"/>
    <n v="4"/>
    <s v="April"/>
    <s v="OK"/>
    <s v="Unique"/>
    <s v="Ready"/>
    <s v="Wadajir - Burglary"/>
  </r>
  <r>
    <s v="CRM00246"/>
    <d v="2025-04-25T00:00:00"/>
    <s v="Theft"/>
    <s v="Wadajir"/>
    <s v="Male"/>
    <x v="1"/>
    <s v="Medium"/>
    <n v="2025"/>
    <n v="4"/>
    <s v="April"/>
    <s v="OK"/>
    <s v="Unique"/>
    <s v="Ready"/>
    <s v="Hodan - Fraud"/>
  </r>
  <r>
    <s v="CRM00245"/>
    <d v="2026-06-05T00:00:00"/>
    <s v="Theft"/>
    <s v="Daynile"/>
    <s v="Male"/>
    <x v="0"/>
    <s v="Medium"/>
    <n v="2026"/>
    <n v="6"/>
    <s v="June"/>
    <s v="OK"/>
    <s v="Unique"/>
    <s v="Ready"/>
    <s v="Karan - Fraud"/>
  </r>
  <r>
    <s v="CRM00244"/>
    <d v="2026-02-27T00:00:00"/>
    <s v="Assault"/>
    <s v="Hodan"/>
    <s v="Female"/>
    <x v="3"/>
    <s v="High"/>
    <n v="2026"/>
    <n v="2"/>
    <s v="February"/>
    <s v="OK"/>
    <s v="Unique"/>
    <s v="Ready"/>
    <s v="Daynile - Assault"/>
  </r>
  <r>
    <s v="CRM00243"/>
    <d v="2025-03-03T00:00:00"/>
    <s v="Traffic Offense"/>
    <s v="Hodan"/>
    <s v="Female"/>
    <x v="3"/>
    <s v="High"/>
    <n v="2025"/>
    <n v="3"/>
    <s v="March"/>
    <s v="OK"/>
    <s v="Unique"/>
    <s v="Ready"/>
    <s v="Wadajir - Theft"/>
  </r>
  <r>
    <s v="CRM00242"/>
    <d v="2026-05-02T00:00:00"/>
    <s v="Robbery"/>
    <s v="Karan"/>
    <s v="Female"/>
    <x v="1"/>
    <s v="High"/>
    <n v="2026"/>
    <n v="5"/>
    <s v="May"/>
    <s v="OK"/>
    <s v="Unique"/>
    <s v="Ready"/>
    <s v="Daynile - Fraud"/>
  </r>
  <r>
    <s v="CRM00241"/>
    <d v="2026-03-11T00:00:00"/>
    <s v="Theft"/>
    <s v="Wadajir"/>
    <s v="Female"/>
    <x v="1"/>
    <s v="Medium"/>
    <n v="2026"/>
    <n v="3"/>
    <s v="March"/>
    <s v="OK"/>
    <s v="Unique"/>
    <s v="Ready"/>
    <s v="Hodan - Assault"/>
  </r>
  <r>
    <s v="CRM00240"/>
    <d v="2025-04-14T00:00:00"/>
    <s v="Traffic Offense"/>
    <s v="Waberi"/>
    <s v="Male"/>
    <x v="0"/>
    <s v="Low"/>
    <n v="2025"/>
    <n v="4"/>
    <s v="April"/>
    <s v="OK"/>
    <s v="Unique"/>
    <s v="Ready"/>
    <s v="Hodan - Assault"/>
  </r>
  <r>
    <s v="CRM00239"/>
    <d v="2025-10-14T00:00:00"/>
    <s v="Assault"/>
    <s v="Wadajir"/>
    <s v="Male"/>
    <x v="1"/>
    <s v="High"/>
    <n v="2025"/>
    <n v="10"/>
    <s v="October"/>
    <s v="OK"/>
    <s v="Unique"/>
    <s v="Ready"/>
    <s v="Karan - Burglary"/>
  </r>
  <r>
    <s v="CRM00238"/>
    <d v="2025-03-27T00:00:00"/>
    <s v="Assault"/>
    <s v="Yaqshid"/>
    <s v="Male"/>
    <x v="1"/>
    <s v="High"/>
    <n v="2025"/>
    <n v="3"/>
    <s v="March"/>
    <s v="OK"/>
    <s v="Unique"/>
    <s v="Ready"/>
    <s v="Hodan - Assault"/>
  </r>
  <r>
    <s v="CRM00237"/>
    <d v="2026-02-02T00:00:00"/>
    <s v="Assault"/>
    <s v="Hodan"/>
    <s v="Male"/>
    <x v="1"/>
    <s v="High"/>
    <n v="2026"/>
    <n v="2"/>
    <s v="February"/>
    <s v="OK"/>
    <s v="Unique"/>
    <s v="Ready"/>
    <s v="Hodan - Assault"/>
  </r>
  <r>
    <s v="CRM00236"/>
    <d v="2025-03-15T00:00:00"/>
    <s v="Fraud"/>
    <s v="Hodan"/>
    <s v="Male"/>
    <x v="1"/>
    <s v="Medium"/>
    <n v="2025"/>
    <n v="3"/>
    <s v="March"/>
    <s v="OK"/>
    <s v="Unique"/>
    <s v="Ready"/>
    <s v="Daynile - Fraud"/>
  </r>
  <r>
    <s v="CRM00235"/>
    <d v="2025-02-24T00:00:00"/>
    <s v="Theft"/>
    <s v="Hodan"/>
    <s v="Male"/>
    <x v="2"/>
    <s v="Medium"/>
    <n v="2025"/>
    <n v="2"/>
    <s v="February"/>
    <s v="OK"/>
    <s v="Unique"/>
    <s v="Ready"/>
    <s v="Wadajir - Fraud"/>
  </r>
  <r>
    <s v="CRM00234"/>
    <d v="2026-07-12T00:00:00"/>
    <s v="Traffic Offense"/>
    <s v="Daynile"/>
    <s v="Unknown"/>
    <x v="1"/>
    <s v="Low"/>
    <n v="2026"/>
    <n v="7"/>
    <s v="July"/>
    <s v="Needs Review"/>
    <s v="Unique"/>
    <s v="Review"/>
    <s v="Daynile - Robbery"/>
  </r>
  <r>
    <s v="CRM00233"/>
    <d v="2025-08-31T00:00:00"/>
    <s v="Assault"/>
    <s v="Daynile"/>
    <s v="Male"/>
    <x v="1"/>
    <s v="High"/>
    <n v="2025"/>
    <n v="8"/>
    <s v="August"/>
    <s v="OK"/>
    <s v="Unique"/>
    <s v="Ready"/>
    <s v="Daynile - Robbery"/>
  </r>
  <r>
    <s v="CRM00232"/>
    <d v="2026-02-21T00:00:00"/>
    <s v="Fraud"/>
    <s v="Wadajir"/>
    <s v="Male"/>
    <x v="1"/>
    <s v="Medium"/>
    <n v="2026"/>
    <n v="2"/>
    <s v="February"/>
    <s v="OK"/>
    <s v="Unique"/>
    <s v="Ready"/>
    <s v="Daynile - Theft"/>
  </r>
  <r>
    <s v="CRM00231"/>
    <d v="2025-06-26T00:00:00"/>
    <s v="Theft"/>
    <s v="Waberi"/>
    <s v="Unknown"/>
    <x v="3"/>
    <s v="Medium"/>
    <n v="2025"/>
    <n v="6"/>
    <s v="June"/>
    <s v="Needs Review"/>
    <s v="Unique"/>
    <s v="Review"/>
    <s v="Waberi - Traffic Offense"/>
  </r>
  <r>
    <s v="CRM00230"/>
    <d v="2025-08-13T00:00:00"/>
    <s v="Assault"/>
    <s v="Waberi"/>
    <s v="Female"/>
    <x v="3"/>
    <s v="High"/>
    <n v="2025"/>
    <n v="8"/>
    <s v="August"/>
    <s v="OK"/>
    <s v="Unique"/>
    <s v="Ready"/>
    <s v="Waberi - Robbery"/>
  </r>
  <r>
    <s v="CRM00229"/>
    <d v="2026-05-25T00:00:00"/>
    <s v="Fraud"/>
    <s v="Wadajir"/>
    <s v="Female"/>
    <x v="0"/>
    <s v="Medium"/>
    <n v="2026"/>
    <n v="5"/>
    <s v="May"/>
    <s v="OK"/>
    <s v="Unique"/>
    <s v="Ready"/>
    <s v="Daynile - Fraud"/>
  </r>
  <r>
    <s v="CRM00228"/>
    <d v="2026-03-27T00:00:00"/>
    <s v="Fraud"/>
    <s v="Waberi"/>
    <s v="Unknown"/>
    <x v="3"/>
    <s v="Medium"/>
    <n v="2026"/>
    <n v="3"/>
    <s v="March"/>
    <s v="Needs Review"/>
    <s v="Unique"/>
    <s v="Review"/>
    <s v="Hodan - Theft"/>
  </r>
  <r>
    <s v="CRM00227"/>
    <d v="2025-11-03T00:00:00"/>
    <s v="Traffic Offense"/>
    <s v="Wadajir"/>
    <s v="Male"/>
    <x v="1"/>
    <s v="Low"/>
    <n v="2025"/>
    <n v="11"/>
    <s v="November"/>
    <s v="OK"/>
    <s v="Unique"/>
    <s v="Ready"/>
    <s v="Wadajir - Fraud"/>
  </r>
  <r>
    <s v="CRM00226"/>
    <d v="2025-03-20T00:00:00"/>
    <s v="Assault"/>
    <s v="Daynile"/>
    <s v="Male"/>
    <x v="1"/>
    <s v="High"/>
    <n v="2025"/>
    <n v="3"/>
    <s v="March"/>
    <s v="OK"/>
    <s v="Unique"/>
    <s v="Ready"/>
    <s v="Wadajir - Theft"/>
  </r>
  <r>
    <s v="CRM00225"/>
    <d v="2026-07-22T00:00:00"/>
    <s v="Fraud"/>
    <s v="Wadajir"/>
    <s v="Female"/>
    <x v="3"/>
    <s v="Medium"/>
    <n v="2026"/>
    <n v="7"/>
    <s v="July"/>
    <s v="OK"/>
    <s v="Unique"/>
    <s v="Ready"/>
    <s v="Hodan - Assault"/>
  </r>
  <r>
    <s v="CRM00224"/>
    <d v="2026-05-05T00:00:00"/>
    <s v="Theft"/>
    <s v="Wadajir"/>
    <s v="Female"/>
    <x v="0"/>
    <s v="Medium"/>
    <n v="2026"/>
    <n v="5"/>
    <s v="May"/>
    <s v="OK"/>
    <s v="Unique"/>
    <s v="Ready"/>
    <s v="Daynile - Fraud"/>
  </r>
  <r>
    <s v="CRM00223"/>
    <d v="2026-07-12T00:00:00"/>
    <s v="Theft"/>
    <s v="Hodan"/>
    <s v="Male"/>
    <x v="1"/>
    <s v="Medium"/>
    <n v="2026"/>
    <n v="7"/>
    <s v="July"/>
    <s v="OK"/>
    <s v="Unique"/>
    <s v="Ready"/>
    <s v="Wadajir - Fraud"/>
  </r>
  <r>
    <s v="CRM00222"/>
    <d v="2025-01-10T00:00:00"/>
    <s v="Theft"/>
    <s v="Daynile"/>
    <s v="Male"/>
    <x v="1"/>
    <s v="Medium"/>
    <n v="2025"/>
    <n v="1"/>
    <s v="January"/>
    <s v="OK"/>
    <s v="Unique"/>
    <s v="Ready"/>
    <s v="Wadajir - Theft"/>
  </r>
  <r>
    <s v="CRM00221"/>
    <d v="2025-12-28T00:00:00"/>
    <s v="Fraud"/>
    <s v="Yaqshid"/>
    <s v="Unknown"/>
    <x v="3"/>
    <s v="Medium"/>
    <n v="2025"/>
    <n v="12"/>
    <s v="December"/>
    <s v="Needs Review"/>
    <s v="Unique"/>
    <s v="Review"/>
    <s v="Karan - Theft"/>
  </r>
  <r>
    <s v="CRM00220"/>
    <d v="2026-02-07T00:00:00"/>
    <s v="Assault"/>
    <s v="Hodan"/>
    <s v="Male"/>
    <x v="0"/>
    <s v="High"/>
    <n v="2026"/>
    <n v="2"/>
    <s v="February"/>
    <s v="OK"/>
    <s v="Unique"/>
    <s v="Ready"/>
    <s v="Yaqshid - Robbery"/>
  </r>
  <r>
    <s v="CRM00219"/>
    <d v="2026-02-20T00:00:00"/>
    <s v="Fraud"/>
    <s v="Yaqshid"/>
    <s v="Female"/>
    <x v="1"/>
    <s v="Medium"/>
    <n v="2026"/>
    <n v="2"/>
    <s v="February"/>
    <s v="OK"/>
    <s v="Unique"/>
    <s v="Ready"/>
    <s v="Hodan - Assault"/>
  </r>
  <r>
    <s v="CRM00218"/>
    <d v="2025-09-02T00:00:00"/>
    <s v="Theft"/>
    <s v="Hodan"/>
    <s v="Male"/>
    <x v="1"/>
    <s v="Medium"/>
    <n v="2025"/>
    <n v="9"/>
    <s v="September"/>
    <s v="OK"/>
    <s v="Unique"/>
    <s v="Ready"/>
    <s v="Yaqshid - Fraud"/>
  </r>
  <r>
    <s v="CRM00217"/>
    <d v="2025-02-09T00:00:00"/>
    <s v="Assault"/>
    <s v="Hodan"/>
    <s v="Male"/>
    <x v="1"/>
    <s v="High"/>
    <n v="2025"/>
    <n v="2"/>
    <s v="February"/>
    <s v="OK"/>
    <s v="Unique"/>
    <s v="Ready"/>
    <s v="Yaqshid - Fraud"/>
  </r>
  <r>
    <s v="CRM00216"/>
    <d v="2026-05-25T00:00:00"/>
    <s v="Assault"/>
    <s v="Karan"/>
    <s v="Male"/>
    <x v="1"/>
    <s v="High"/>
    <n v="2026"/>
    <n v="5"/>
    <s v="May"/>
    <s v="OK"/>
    <s v="Unique"/>
    <s v="Ready"/>
    <s v="Yaqshid - Robbery"/>
  </r>
  <r>
    <s v="CRM00215"/>
    <d v="2025-07-15T00:00:00"/>
    <s v="Fraud"/>
    <s v="Daynile"/>
    <s v="Female"/>
    <x v="3"/>
    <s v="Medium"/>
    <n v="2025"/>
    <n v="7"/>
    <s v="July"/>
    <s v="OK"/>
    <s v="Unique"/>
    <s v="Ready"/>
    <s v="Hodan - Theft"/>
  </r>
  <r>
    <s v="CRM00214"/>
    <d v="2025-07-31T00:00:00"/>
    <s v="Assault"/>
    <s v="Daynile"/>
    <s v="Male"/>
    <x v="0"/>
    <s v="High"/>
    <n v="2025"/>
    <n v="7"/>
    <s v="July"/>
    <s v="OK"/>
    <s v="Unique"/>
    <s v="Ready"/>
    <s v="Waberi - Theft"/>
  </r>
  <r>
    <s v="CRM00213"/>
    <d v="2026-07-12T00:00:00"/>
    <s v="Assault"/>
    <s v="Wadajir"/>
    <s v="Male"/>
    <x v="0"/>
    <s v="High"/>
    <n v="2026"/>
    <n v="7"/>
    <s v="July"/>
    <s v="OK"/>
    <s v="Unique"/>
    <s v="Ready"/>
    <s v="Wadajir - Fraud"/>
  </r>
  <r>
    <s v="CRM00212"/>
    <d v="2025-09-23T00:00:00"/>
    <s v="Fraud"/>
    <s v="Hodan"/>
    <s v="Male"/>
    <x v="1"/>
    <s v="Medium"/>
    <n v="2025"/>
    <n v="9"/>
    <s v="September"/>
    <s v="OK"/>
    <s v="Unique"/>
    <s v="Ready"/>
    <s v="Wadajir - Robbery"/>
  </r>
  <r>
    <s v="CRM00211"/>
    <d v="2025-11-14T00:00:00"/>
    <s v="Theft"/>
    <s v="Wadajir"/>
    <s v="Male"/>
    <x v="1"/>
    <s v="Medium"/>
    <n v="2025"/>
    <n v="11"/>
    <s v="November"/>
    <s v="OK"/>
    <s v="Unique"/>
    <s v="Ready"/>
    <s v="Wadajir - Fraud"/>
  </r>
  <r>
    <s v="CRM00210"/>
    <d v="2025-04-08T00:00:00"/>
    <s v="Fraud"/>
    <s v="Daynile"/>
    <s v="Female"/>
    <x v="1"/>
    <s v="High"/>
    <n v="2025"/>
    <n v="4"/>
    <s v="April"/>
    <s v="OK"/>
    <s v="Unique"/>
    <s v="Ready"/>
    <s v="Wadajir - Robbery"/>
  </r>
  <r>
    <s v="CRM00209"/>
    <d v="2025-06-25T00:00:00"/>
    <s v="Theft"/>
    <s v="Hodan"/>
    <s v="Female"/>
    <x v="3"/>
    <s v="High"/>
    <n v="2025"/>
    <n v="6"/>
    <s v="June"/>
    <s v="OK"/>
    <s v="Unique"/>
    <s v="Ready"/>
    <s v="Wadajir - Robbery"/>
  </r>
  <r>
    <s v="CRM00208"/>
    <d v="2025-09-24T00:00:00"/>
    <s v="Robbery"/>
    <s v="Karan"/>
    <s v="Unknown"/>
    <x v="3"/>
    <s v="High"/>
    <n v="2025"/>
    <n v="9"/>
    <s v="September"/>
    <s v="Needs Review"/>
    <s v="Unique"/>
    <s v="Review"/>
    <s v="Wadajir - Burglary"/>
  </r>
  <r>
    <s v="CRM00207"/>
    <d v="2026-03-22T00:00:00"/>
    <s v="Fraud"/>
    <s v="Daynile"/>
    <s v="Male"/>
    <x v="1"/>
    <s v="Medium"/>
    <n v="2026"/>
    <n v="3"/>
    <s v="March"/>
    <s v="OK"/>
    <s v="Unique"/>
    <s v="Ready"/>
    <s v="Daynile - Assault"/>
  </r>
  <r>
    <s v="CRM00206"/>
    <d v="2026-04-11T00:00:00"/>
    <s v="Assault"/>
    <s v="Daynile"/>
    <s v="Female"/>
    <x v="1"/>
    <s v="High"/>
    <n v="2026"/>
    <n v="4"/>
    <s v="April"/>
    <s v="OK"/>
    <s v="Unique"/>
    <s v="Ready"/>
    <s v="Hodan - Robbery"/>
  </r>
  <r>
    <s v="CRM00205"/>
    <d v="2025-08-11T00:00:00"/>
    <s v="Assault"/>
    <s v="Karan"/>
    <s v="Female"/>
    <x v="0"/>
    <s v="High"/>
    <n v="2025"/>
    <n v="8"/>
    <s v="August"/>
    <s v="OK"/>
    <s v="Unique"/>
    <s v="Ready"/>
    <s v="Waberi - Fraud"/>
  </r>
  <r>
    <s v="CRM00204"/>
    <d v="2026-06-25T00:00:00"/>
    <s v="Theft"/>
    <s v="Waberi"/>
    <s v="Unknown"/>
    <x v="3"/>
    <s v="Medium"/>
    <n v="2026"/>
    <n v="6"/>
    <s v="June"/>
    <s v="Needs Review"/>
    <s v="Unique"/>
    <s v="Review"/>
    <s v="Daynile - Fraud"/>
  </r>
  <r>
    <s v="CRM00203"/>
    <d v="2026-04-25T00:00:00"/>
    <s v="Robbery"/>
    <s v="Karan"/>
    <s v="Unknown"/>
    <x v="1"/>
    <s v="High"/>
    <n v="2026"/>
    <n v="4"/>
    <s v="April"/>
    <s v="Needs Review"/>
    <s v="Unique"/>
    <s v="Review"/>
    <s v="Yaqshid - Fraud"/>
  </r>
  <r>
    <s v="CRM00202"/>
    <d v="2025-02-26T00:00:00"/>
    <s v="Theft"/>
    <s v="Hodan"/>
    <s v="Male"/>
    <x v="3"/>
    <s v="High"/>
    <n v="2025"/>
    <n v="2"/>
    <s v="February"/>
    <s v="OK"/>
    <s v="Unique"/>
    <s v="Ready"/>
    <s v="Yaqshid - Fraud"/>
  </r>
  <r>
    <s v="CRM00201"/>
    <d v="2025-02-13T00:00:00"/>
    <s v="Burglary"/>
    <s v="Wadajir"/>
    <s v="Male"/>
    <x v="1"/>
    <s v="Medium"/>
    <n v="2025"/>
    <n v="2"/>
    <s v="February"/>
    <s v="OK"/>
    <s v="Unique"/>
    <s v="Ready"/>
    <s v="Yaqshid - Fraud"/>
  </r>
  <r>
    <s v="CRM00200"/>
    <d v="2025-06-23T00:00:00"/>
    <s v="Traffic Offense"/>
    <s v="Hodan"/>
    <s v="Unknown"/>
    <x v="1"/>
    <s v="Low"/>
    <n v="2025"/>
    <n v="6"/>
    <s v="June"/>
    <s v="Needs Review"/>
    <s v="Unique"/>
    <s v="Review"/>
    <s v="Daynile - Theft"/>
  </r>
  <r>
    <s v="CRM00199"/>
    <d v="2026-05-15T00:00:00"/>
    <s v="Fraud"/>
    <s v="Daynile"/>
    <s v="Male"/>
    <x v="1"/>
    <s v="Medium"/>
    <n v="2026"/>
    <n v="5"/>
    <s v="May"/>
    <s v="OK"/>
    <s v="Unique"/>
    <s v="Ready"/>
    <s v="Karan - Robbery"/>
  </r>
  <r>
    <s v="CRM00198"/>
    <d v="2025-02-17T00:00:00"/>
    <s v="Assault"/>
    <s v="Wadajir"/>
    <s v="Male"/>
    <x v="0"/>
    <s v="High"/>
    <n v="2025"/>
    <n v="2"/>
    <s v="February"/>
    <s v="OK"/>
    <s v="Unique"/>
    <s v="Ready"/>
    <s v="Yaqshid - Assault"/>
  </r>
  <r>
    <s v="CRM00197"/>
    <d v="2026-02-13T00:00:00"/>
    <s v="Burglary"/>
    <s v="Karan"/>
    <s v="Male"/>
    <x v="1"/>
    <s v="Medium"/>
    <n v="2026"/>
    <n v="2"/>
    <s v="February"/>
    <s v="OK"/>
    <s v="Unique"/>
    <s v="Ready"/>
    <s v="Karan - Fraud"/>
  </r>
  <r>
    <s v="CRM00196"/>
    <d v="2025-03-11T00:00:00"/>
    <s v="Assault"/>
    <s v="Hodan"/>
    <s v="Male"/>
    <x v="3"/>
    <s v="High"/>
    <n v="2025"/>
    <n v="3"/>
    <s v="March"/>
    <s v="OK"/>
    <s v="Unique"/>
    <s v="Ready"/>
    <s v="Wadajir - Theft"/>
  </r>
  <r>
    <s v="CRM00195"/>
    <d v="2026-06-09T00:00:00"/>
    <s v="Theft"/>
    <s v="Wadajir"/>
    <s v="Male"/>
    <x v="3"/>
    <s v="Medium"/>
    <n v="2026"/>
    <n v="6"/>
    <s v="June"/>
    <s v="OK"/>
    <s v="Unique"/>
    <s v="Ready"/>
    <s v="Hodan - Robbery"/>
  </r>
  <r>
    <s v="CRM00194"/>
    <d v="2025-04-18T00:00:00"/>
    <s v="Theft"/>
    <s v="Karan"/>
    <s v="Female"/>
    <x v="3"/>
    <s v="High"/>
    <n v="2025"/>
    <n v="4"/>
    <s v="April"/>
    <s v="OK"/>
    <s v="Unique"/>
    <s v="Ready"/>
    <s v="Waberi - Theft"/>
  </r>
  <r>
    <s v="CRM00193"/>
    <d v="2026-07-12T00:00:00"/>
    <s v="Assault"/>
    <s v="Hodan"/>
    <s v="Male"/>
    <x v="1"/>
    <s v="High"/>
    <n v="2026"/>
    <n v="7"/>
    <s v="July"/>
    <s v="OK"/>
    <s v="Unique"/>
    <s v="Ready"/>
    <s v="Yaqshid - Assault"/>
  </r>
  <r>
    <s v="CRM00192"/>
    <d v="2025-05-27T00:00:00"/>
    <s v="Robbery"/>
    <s v="Wadajir"/>
    <s v="Male"/>
    <x v="1"/>
    <s v="High"/>
    <n v="2025"/>
    <n v="5"/>
    <s v="May"/>
    <s v="OK"/>
    <s v="Unique"/>
    <s v="Ready"/>
    <s v="Waberi - Theft"/>
  </r>
  <r>
    <s v="CRM00191"/>
    <d v="2025-07-15T00:00:00"/>
    <s v="Assault"/>
    <s v="Hodan"/>
    <s v="Male"/>
    <x v="0"/>
    <s v="Medium"/>
    <n v="2025"/>
    <n v="7"/>
    <s v="July"/>
    <s v="OK"/>
    <s v="Unique"/>
    <s v="Ready"/>
    <s v="Karan - Assault"/>
  </r>
  <r>
    <s v="CRM00190"/>
    <d v="2025-06-16T00:00:00"/>
    <s v="Theft"/>
    <s v="Wadajir"/>
    <s v="Female"/>
    <x v="0"/>
    <s v="Medium"/>
    <n v="2025"/>
    <n v="6"/>
    <s v="June"/>
    <s v="OK"/>
    <s v="Unique"/>
    <s v="Ready"/>
    <s v="Hodan - Theft"/>
  </r>
  <r>
    <s v="CRM00189"/>
    <d v="2025-09-01T00:00:00"/>
    <s v="Robbery"/>
    <s v="Waberi"/>
    <s v="Female"/>
    <x v="0"/>
    <s v="High"/>
    <n v="2025"/>
    <n v="9"/>
    <s v="September"/>
    <s v="OK"/>
    <s v="Unique"/>
    <s v="Ready"/>
    <s v="Hodan - Assault"/>
  </r>
  <r>
    <s v="CRM00188"/>
    <d v="2026-02-02T00:00:00"/>
    <s v="Assault"/>
    <s v="Wadajir"/>
    <s v="Female"/>
    <x v="0"/>
    <s v="High"/>
    <n v="2026"/>
    <n v="2"/>
    <s v="February"/>
    <s v="OK"/>
    <s v="Unique"/>
    <s v="Ready"/>
    <s v="Hodan - Robbery"/>
  </r>
  <r>
    <s v="CRM00187"/>
    <d v="2025-01-12T00:00:00"/>
    <s v="Traffic Offense"/>
    <s v="Yaqshid"/>
    <s v="Female"/>
    <x v="3"/>
    <s v="Low"/>
    <n v="2025"/>
    <n v="1"/>
    <s v="January"/>
    <s v="OK"/>
    <s v="Unique"/>
    <s v="Ready"/>
    <s v="Wadajir - Theft"/>
  </r>
  <r>
    <s v="CRM00185"/>
    <d v="2025-11-09T00:00:00"/>
    <s v="Traffic Offense"/>
    <s v="Hodan"/>
    <s v="Unknown"/>
    <x v="1"/>
    <s v="Low"/>
    <n v="2025"/>
    <n v="11"/>
    <s v="November"/>
    <s v="Needs Review"/>
    <s v="Unique"/>
    <s v="Review"/>
    <s v="Hodan - Assault"/>
  </r>
  <r>
    <s v="CRM00183"/>
    <d v="2026-01-08T00:00:00"/>
    <s v="Fraud"/>
    <s v="Daynile"/>
    <s v="Unknown"/>
    <x v="0"/>
    <s v="High"/>
    <n v="2026"/>
    <n v="1"/>
    <s v="January"/>
    <s v="Needs Review"/>
    <s v="Unique"/>
    <s v="Review"/>
    <s v="Wadajir - Robbery"/>
  </r>
  <r>
    <s v="CRM00182"/>
    <d v="2026-07-20T00:00:00"/>
    <s v="Theft"/>
    <s v="Yaqshid"/>
    <s v="Female"/>
    <x v="1"/>
    <s v="Medium"/>
    <n v="2026"/>
    <n v="7"/>
    <s v="July"/>
    <s v="OK"/>
    <s v="Unique"/>
    <s v="Ready"/>
    <s v="Waberi - Assault"/>
  </r>
  <r>
    <s v="CRM00181"/>
    <d v="2026-01-03T00:00:00"/>
    <s v="Robbery"/>
    <s v="Daynile"/>
    <s v="Male"/>
    <x v="1"/>
    <s v="High"/>
    <n v="2026"/>
    <n v="1"/>
    <s v="January"/>
    <s v="OK"/>
    <s v="Unique"/>
    <s v="Ready"/>
    <s v="Hodan - Theft"/>
  </r>
  <r>
    <s v="CRM00180"/>
    <d v="2025-07-19T00:00:00"/>
    <s v="Theft"/>
    <s v="Yaqshid"/>
    <s v="Male"/>
    <x v="1"/>
    <s v="Medium"/>
    <n v="2025"/>
    <n v="7"/>
    <s v="July"/>
    <s v="OK"/>
    <s v="Unique"/>
    <s v="Ready"/>
    <s v="Karan - Traffic Offense"/>
  </r>
  <r>
    <s v="CRM00179"/>
    <d v="2025-07-07T00:00:00"/>
    <s v="Traffic Offense"/>
    <s v="Wadajir"/>
    <s v="Male"/>
    <x v="1"/>
    <s v="Low"/>
    <n v="2025"/>
    <n v="7"/>
    <s v="July"/>
    <s v="OK"/>
    <s v="Unique"/>
    <s v="Ready"/>
    <s v="Wadajir - Assault"/>
  </r>
  <r>
    <s v="CRM00178"/>
    <d v="2026-06-09T00:00:00"/>
    <s v="Theft"/>
    <s v="Daynile"/>
    <s v="Unknown"/>
    <x v="3"/>
    <s v="Medium"/>
    <n v="2026"/>
    <n v="6"/>
    <s v="June"/>
    <s v="Needs Review"/>
    <s v="Unique"/>
    <s v="Review"/>
    <s v="Hodan - Theft"/>
  </r>
  <r>
    <s v="CRM00177"/>
    <d v="2025-10-20T00:00:00"/>
    <s v="Fraud"/>
    <s v="Waberi"/>
    <s v="Female"/>
    <x v="1"/>
    <s v="Medium"/>
    <n v="2025"/>
    <n v="10"/>
    <s v="October"/>
    <s v="OK"/>
    <s v="Unique"/>
    <s v="Ready"/>
    <s v="Waberi - Theft"/>
  </r>
  <r>
    <s v="CRM00176"/>
    <d v="2025-12-06T00:00:00"/>
    <s v="Assault"/>
    <s v="Karan"/>
    <s v="Male"/>
    <x v="3"/>
    <s v="High"/>
    <n v="2025"/>
    <n v="12"/>
    <s v="December"/>
    <s v="OK"/>
    <s v="Unique"/>
    <s v="Ready"/>
    <s v="Yaqshid - Fraud"/>
  </r>
  <r>
    <s v="CRM00175"/>
    <d v="2025-04-23T00:00:00"/>
    <s v="Assault"/>
    <s v="Hodan"/>
    <s v="Male"/>
    <x v="2"/>
    <s v="High"/>
    <n v="2025"/>
    <n v="4"/>
    <s v="April"/>
    <s v="OK"/>
    <s v="Unique"/>
    <s v="Ready"/>
    <s v="Waberi - Assault"/>
  </r>
  <r>
    <s v="CRM00174"/>
    <d v="2025-04-20T00:00:00"/>
    <s v="Fraud"/>
    <s v="Yaqshid"/>
    <s v="Male"/>
    <x v="0"/>
    <s v="Medium"/>
    <n v="2025"/>
    <n v="4"/>
    <s v="April"/>
    <s v="OK"/>
    <s v="Unique"/>
    <s v="Ready"/>
    <s v="Yaqshid - Robbery"/>
  </r>
  <r>
    <s v="CRM00173"/>
    <d v="2025-06-18T00:00:00"/>
    <s v="Theft"/>
    <s v="Hodan"/>
    <s v="Unknown"/>
    <x v="1"/>
    <s v="Medium"/>
    <n v="2025"/>
    <n v="6"/>
    <s v="June"/>
    <s v="Needs Review"/>
    <s v="Unique"/>
    <s v="Review"/>
    <s v="Hodan - Assault"/>
  </r>
  <r>
    <s v="CRM00172"/>
    <d v="2026-07-12T00:00:00"/>
    <s v="Theft"/>
    <s v="Hodan"/>
    <s v="Male"/>
    <x v="1"/>
    <s v="Medium"/>
    <n v="2026"/>
    <n v="7"/>
    <s v="July"/>
    <s v="OK"/>
    <s v="Unique"/>
    <s v="Ready"/>
    <s v="Hodan - Theft"/>
  </r>
  <r>
    <s v="CRM00171"/>
    <d v="2026-04-21T00:00:00"/>
    <s v="Theft"/>
    <s v="Karan"/>
    <s v="Male"/>
    <x v="0"/>
    <s v="Medium"/>
    <n v="2026"/>
    <n v="4"/>
    <s v="April"/>
    <s v="OK"/>
    <s v="Unique"/>
    <s v="Ready"/>
    <s v="Hodan - Assault"/>
  </r>
  <r>
    <s v="CRM00170"/>
    <d v="2025-02-02T00:00:00"/>
    <s v="Assault"/>
    <s v="Wadajir"/>
    <s v="Female"/>
    <x v="0"/>
    <s v="High"/>
    <n v="2025"/>
    <n v="2"/>
    <s v="February"/>
    <s v="OK"/>
    <s v="Unique"/>
    <s v="Ready"/>
    <s v="Yaqshid - Theft"/>
  </r>
  <r>
    <s v="CRM00169"/>
    <d v="2026-05-13T00:00:00"/>
    <s v="Traffic Offense"/>
    <s v="Wadajir"/>
    <s v="Female"/>
    <x v="1"/>
    <s v="Low"/>
    <n v="2026"/>
    <n v="5"/>
    <s v="May"/>
    <s v="OK"/>
    <s v="Unique"/>
    <s v="Ready"/>
    <s v="Hodan - Theft"/>
  </r>
  <r>
    <s v="CRM00168"/>
    <d v="2026-05-30T00:00:00"/>
    <s v="Theft"/>
    <s v="Hodan"/>
    <s v="Male"/>
    <x v="0"/>
    <s v="Medium"/>
    <n v="2026"/>
    <n v="5"/>
    <s v="May"/>
    <s v="OK"/>
    <s v="Unique"/>
    <s v="Ready"/>
    <s v="Daynile - Assault"/>
  </r>
  <r>
    <s v="CRM00167"/>
    <d v="2025-05-29T00:00:00"/>
    <s v="Fraud"/>
    <s v="Wadajir"/>
    <s v="Unknown"/>
    <x v="3"/>
    <s v="Medium"/>
    <n v="2025"/>
    <n v="5"/>
    <s v="May"/>
    <s v="Needs Review"/>
    <s v="Unique"/>
    <s v="Review"/>
    <s v="Karan - Robbery"/>
  </r>
  <r>
    <s v="CRM00166"/>
    <d v="2025-01-11T00:00:00"/>
    <s v="Burglary"/>
    <s v="Hodan"/>
    <s v="Male"/>
    <x v="1"/>
    <s v="Medium"/>
    <n v="2025"/>
    <n v="1"/>
    <s v="January"/>
    <s v="OK"/>
    <s v="Unique"/>
    <s v="Ready"/>
    <s v="Hodan - Fraud"/>
  </r>
  <r>
    <s v="CRM00165"/>
    <d v="2025-11-16T00:00:00"/>
    <s v="Theft"/>
    <s v="Yaqshid"/>
    <s v="Male"/>
    <x v="0"/>
    <s v="Medium"/>
    <n v="2025"/>
    <n v="11"/>
    <s v="November"/>
    <s v="OK"/>
    <s v="Unique"/>
    <s v="Ready"/>
    <s v="Wadajir - Fraud"/>
  </r>
  <r>
    <s v="CRM00164"/>
    <d v="2025-10-05T00:00:00"/>
    <s v="Fraud"/>
    <s v="Yaqshid"/>
    <s v="Unknown"/>
    <x v="3"/>
    <s v="Medium"/>
    <n v="2025"/>
    <n v="10"/>
    <s v="October"/>
    <s v="Needs Review"/>
    <s v="Unique"/>
    <s v="Review"/>
    <s v="Wadajir - Theft"/>
  </r>
  <r>
    <s v="CRM00163"/>
    <d v="2026-07-12T00:00:00"/>
    <s v="Theft"/>
    <s v="Wadajir"/>
    <s v="Male"/>
    <x v="1"/>
    <s v="Medium"/>
    <n v="2026"/>
    <n v="7"/>
    <s v="July"/>
    <s v="OK"/>
    <s v="Unique"/>
    <s v="Ready"/>
    <s v="Karan - Theft"/>
  </r>
  <r>
    <s v="CRM00162"/>
    <d v="2026-05-18T00:00:00"/>
    <s v="Assault"/>
    <s v="Hodan"/>
    <s v="Male"/>
    <x v="0"/>
    <s v="High"/>
    <n v="2026"/>
    <n v="5"/>
    <s v="May"/>
    <s v="OK"/>
    <s v="Unique"/>
    <s v="Ready"/>
    <s v="Karan - Assault"/>
  </r>
  <r>
    <s v="CRM00161"/>
    <d v="2025-10-27T00:00:00"/>
    <s v="Theft"/>
    <s v="Karan"/>
    <s v="Male"/>
    <x v="3"/>
    <s v="High"/>
    <n v="2025"/>
    <n v="10"/>
    <s v="October"/>
    <s v="OK"/>
    <s v="Unique"/>
    <s v="Ready"/>
    <s v="Wadajir - Theft"/>
  </r>
  <r>
    <s v="CRM00160"/>
    <d v="2025-02-25T00:00:00"/>
    <s v="Assault"/>
    <s v="Yaqshid"/>
    <s v="Male"/>
    <x v="2"/>
    <s v="High"/>
    <n v="2025"/>
    <n v="2"/>
    <s v="February"/>
    <s v="OK"/>
    <s v="Unique"/>
    <s v="Ready"/>
    <s v="Wadajir - Fraud"/>
  </r>
  <r>
    <s v="CRM00158"/>
    <d v="2025-09-19T00:00:00"/>
    <s v="Assault"/>
    <s v="Wadajir"/>
    <s v="Male"/>
    <x v="3"/>
    <s v="High"/>
    <n v="2025"/>
    <n v="9"/>
    <s v="September"/>
    <s v="OK"/>
    <s v="Unique"/>
    <s v="Ready"/>
    <s v="Karan - Fraud"/>
  </r>
  <r>
    <s v="CRM00157"/>
    <d v="2026-05-14T00:00:00"/>
    <s v="Robbery"/>
    <s v="Daynile"/>
    <s v="Female"/>
    <x v="2"/>
    <s v="High"/>
    <n v="2026"/>
    <n v="5"/>
    <s v="May"/>
    <s v="OK"/>
    <s v="Unique"/>
    <s v="Ready"/>
    <s v="Wadajir - Assault"/>
  </r>
  <r>
    <s v="CRM00156"/>
    <d v="2026-07-06T00:00:00"/>
    <s v="Theft"/>
    <s v="Waberi"/>
    <s v="Male"/>
    <x v="1"/>
    <s v="Medium"/>
    <n v="2026"/>
    <n v="7"/>
    <s v="July"/>
    <s v="OK"/>
    <s v="Unique"/>
    <s v="Ready"/>
    <s v="Daynile - Robbery"/>
  </r>
  <r>
    <s v="CRM00155"/>
    <d v="2026-01-29T00:00:00"/>
    <s v="Assault"/>
    <s v="Daynile"/>
    <s v="Male"/>
    <x v="1"/>
    <s v="High"/>
    <n v="2026"/>
    <n v="1"/>
    <s v="January"/>
    <s v="OK"/>
    <s v="Unique"/>
    <s v="Ready"/>
    <s v="Hodan - Assault"/>
  </r>
  <r>
    <s v="CRM00153"/>
    <d v="2026-04-06T00:00:00"/>
    <s v="Theft"/>
    <s v="Hodan"/>
    <s v="Unknown"/>
    <x v="3"/>
    <s v="Medium"/>
    <n v="2026"/>
    <n v="4"/>
    <s v="April"/>
    <s v="Needs Review"/>
    <s v="Unique"/>
    <s v="Review"/>
    <s v="Waberi - Burglary"/>
  </r>
  <r>
    <s v="CRM00152"/>
    <d v="2026-02-02T00:00:00"/>
    <s v="Fraud"/>
    <s v="Yaqshid"/>
    <s v="Female"/>
    <x v="1"/>
    <s v="Low"/>
    <n v="2026"/>
    <n v="2"/>
    <s v="February"/>
    <s v="OK"/>
    <s v="Unique"/>
    <s v="Ready"/>
    <s v="Karan - Theft"/>
  </r>
  <r>
    <s v="CRM00151"/>
    <d v="2025-12-27T00:00:00"/>
    <s v="Robbery"/>
    <s v="Waberi"/>
    <s v="Female"/>
    <x v="1"/>
    <s v="High"/>
    <n v="2025"/>
    <n v="12"/>
    <s v="December"/>
    <s v="OK"/>
    <s v="Unique"/>
    <s v="Ready"/>
    <s v="Hodan - Theft"/>
  </r>
  <r>
    <s v="CRM00150"/>
    <d v="2026-01-15T00:00:00"/>
    <s v="Theft"/>
    <s v="Hodan"/>
    <s v="Female"/>
    <x v="1"/>
    <s v="Medium"/>
    <n v="2026"/>
    <n v="1"/>
    <s v="January"/>
    <s v="OK"/>
    <s v="Unique"/>
    <s v="Ready"/>
    <s v="Waberi - Fraud"/>
  </r>
  <r>
    <s v="CRM00149"/>
    <d v="2026-05-08T00:00:00"/>
    <s v="Theft"/>
    <s v="Hodan"/>
    <s v="Male"/>
    <x v="3"/>
    <s v="Medium"/>
    <n v="2026"/>
    <n v="5"/>
    <s v="May"/>
    <s v="OK"/>
    <s v="Unique"/>
    <s v="Ready"/>
    <s v="Waberi - Robbery"/>
  </r>
  <r>
    <s v="CRM00148"/>
    <d v="2025-07-12T00:00:00"/>
    <s v="Theft"/>
    <s v="Wadajir"/>
    <s v="Unknown"/>
    <x v="1"/>
    <s v="Medium"/>
    <n v="2025"/>
    <n v="7"/>
    <s v="July"/>
    <s v="Needs Review"/>
    <s v="Unique"/>
    <s v="Review"/>
    <s v="Yaqshid - Theft"/>
  </r>
  <r>
    <s v="CRM00147"/>
    <d v="2025-08-07T00:00:00"/>
    <s v="Assault"/>
    <s v="Hodan"/>
    <s v="Female"/>
    <x v="0"/>
    <s v="High"/>
    <n v="2025"/>
    <n v="8"/>
    <s v="August"/>
    <s v="OK"/>
    <s v="Unique"/>
    <s v="Ready"/>
    <s v="Wadajir - Fraud"/>
  </r>
  <r>
    <s v="CRM00146"/>
    <d v="2025-07-12T00:00:00"/>
    <s v="Assault"/>
    <s v="Waberi"/>
    <s v="Female"/>
    <x v="0"/>
    <s v="High"/>
    <n v="2025"/>
    <n v="7"/>
    <s v="July"/>
    <s v="OK"/>
    <s v="Unique"/>
    <s v="Ready"/>
    <s v="Wadajir - Theft"/>
  </r>
  <r>
    <s v="CRM00145"/>
    <d v="2025-08-08T00:00:00"/>
    <s v="Fraud"/>
    <s v="Waberi"/>
    <s v="Female"/>
    <x v="1"/>
    <s v="Medium"/>
    <n v="2025"/>
    <n v="8"/>
    <s v="August"/>
    <s v="OK"/>
    <s v="Unique"/>
    <s v="Ready"/>
    <s v="Yaqshid - Fraud"/>
  </r>
  <r>
    <s v="CRM00144"/>
    <d v="2026-02-26T00:00:00"/>
    <s v="Fraud"/>
    <s v="Karan"/>
    <s v="Unknown"/>
    <x v="3"/>
    <s v="Medium"/>
    <n v="2026"/>
    <n v="2"/>
    <s v="February"/>
    <s v="Needs Review"/>
    <s v="Unique"/>
    <s v="Review"/>
    <s v="Waberi - Robbery"/>
  </r>
  <r>
    <s v="CRM00143"/>
    <d v="2026-05-26T00:00:00"/>
    <s v="Theft"/>
    <s v="Wadajir"/>
    <s v="Female"/>
    <x v="1"/>
    <s v="Medium"/>
    <n v="2026"/>
    <n v="5"/>
    <s v="May"/>
    <s v="OK"/>
    <s v="Unique"/>
    <s v="Ready"/>
    <s v="Daynile - Robbery"/>
  </r>
  <r>
    <s v="CRM00142"/>
    <d v="2026-03-06T00:00:00"/>
    <s v="Assault"/>
    <s v="Hodan"/>
    <s v="Female"/>
    <x v="0"/>
    <s v="High"/>
    <n v="2026"/>
    <n v="3"/>
    <s v="March"/>
    <s v="OK"/>
    <s v="Unique"/>
    <s v="Ready"/>
    <s v="Daynile - Fraud"/>
  </r>
  <r>
    <s v="CRM00141"/>
    <d v="2026-07-12T00:00:00"/>
    <s v="Burglary"/>
    <s v="Wadajir"/>
    <s v="Female"/>
    <x v="1"/>
    <s v="Medium"/>
    <n v="2026"/>
    <n v="7"/>
    <s v="July"/>
    <s v="OK"/>
    <s v="Unique"/>
    <s v="Ready"/>
    <s v="Wadajir - Assault"/>
  </r>
  <r>
    <s v="CRM00140"/>
    <d v="2025-01-14T00:00:00"/>
    <s v="Robbery"/>
    <s v="Wadajir"/>
    <s v="Female"/>
    <x v="3"/>
    <s v="High"/>
    <n v="2025"/>
    <n v="1"/>
    <s v="January"/>
    <s v="OK"/>
    <s v="Unique"/>
    <s v="Ready"/>
    <s v="Daynile - Theft"/>
  </r>
  <r>
    <s v="CRM00139"/>
    <d v="2026-05-10T00:00:00"/>
    <s v="Robbery"/>
    <s v="Karan"/>
    <s v="Male"/>
    <x v="2"/>
    <s v="High"/>
    <n v="2026"/>
    <n v="5"/>
    <s v="May"/>
    <s v="OK"/>
    <s v="Unique"/>
    <s v="Ready"/>
    <s v="Yaqshid - Burglary"/>
  </r>
  <r>
    <s v="CRM00138"/>
    <d v="2026-03-17T00:00:00"/>
    <s v="Theft"/>
    <s v="Yaqshid"/>
    <s v="Female"/>
    <x v="3"/>
    <s v="Medium"/>
    <n v="2026"/>
    <n v="3"/>
    <s v="March"/>
    <s v="OK"/>
    <s v="Unique"/>
    <s v="Ready"/>
    <s v="Wadajir - Theft"/>
  </r>
  <r>
    <s v="CRM00137"/>
    <d v="2026-05-12T00:00:00"/>
    <s v="Traffic Offense"/>
    <s v="Karan"/>
    <s v="Male"/>
    <x v="2"/>
    <s v="Low"/>
    <n v="2026"/>
    <n v="5"/>
    <s v="May"/>
    <s v="OK"/>
    <s v="Unique"/>
    <s v="Ready"/>
    <s v="Daynile - Assault"/>
  </r>
  <r>
    <s v="CRM00136"/>
    <d v="2025-12-28T00:00:00"/>
    <s v="Theft"/>
    <s v="Yaqshid"/>
    <s v="Unknown"/>
    <x v="1"/>
    <s v="Medium"/>
    <n v="2025"/>
    <n v="12"/>
    <s v="December"/>
    <s v="Needs Review"/>
    <s v="Unique"/>
    <s v="Review"/>
    <s v="Yaqshid - Theft"/>
  </r>
  <r>
    <s v="CRM00135"/>
    <d v="2025-03-07T00:00:00"/>
    <s v="Fraud"/>
    <s v="Yaqshid"/>
    <s v="Female"/>
    <x v="0"/>
    <s v="Medium"/>
    <n v="2025"/>
    <n v="3"/>
    <s v="March"/>
    <s v="OK"/>
    <s v="Unique"/>
    <s v="Ready"/>
    <s v="Waberi - Theft"/>
  </r>
  <r>
    <s v="CRM00134"/>
    <d v="2025-07-28T00:00:00"/>
    <s v="Assault"/>
    <s v="Hodan"/>
    <s v="Unknown"/>
    <x v="0"/>
    <s v="Medium"/>
    <n v="2025"/>
    <n v="7"/>
    <s v="July"/>
    <s v="Needs Review"/>
    <s v="Unique"/>
    <s v="Review"/>
    <s v="Hodan - Assault"/>
  </r>
  <r>
    <s v="CRM00133"/>
    <d v="2025-07-07T00:00:00"/>
    <s v="Burglary"/>
    <s v="Karan"/>
    <s v="Male"/>
    <x v="1"/>
    <s v="Medium"/>
    <n v="2025"/>
    <n v="7"/>
    <s v="July"/>
    <s v="OK"/>
    <s v="Unique"/>
    <s v="Ready"/>
    <s v="Daynile - Theft"/>
  </r>
  <r>
    <s v="CRM00132"/>
    <d v="2025-04-01T00:00:00"/>
    <s v="Burglary"/>
    <s v="Wadajir"/>
    <s v="Female"/>
    <x v="1"/>
    <s v="Medium"/>
    <n v="2025"/>
    <n v="4"/>
    <s v="April"/>
    <s v="OK"/>
    <s v="Unique"/>
    <s v="Ready"/>
    <s v="Hodan - Theft"/>
  </r>
  <r>
    <s v="CRM00131"/>
    <d v="2026-02-01T00:00:00"/>
    <s v="Assault"/>
    <s v="Yaqshid"/>
    <s v="Female"/>
    <x v="2"/>
    <s v="High"/>
    <n v="2026"/>
    <n v="2"/>
    <s v="February"/>
    <s v="OK"/>
    <s v="Unique"/>
    <s v="Ready"/>
    <s v="Hodan - Assault"/>
  </r>
  <r>
    <s v="CRM00130"/>
    <d v="2026-06-26T00:00:00"/>
    <s v="Fraud"/>
    <s v="Hodan"/>
    <s v="Female"/>
    <x v="2"/>
    <s v="Medium"/>
    <n v="2026"/>
    <n v="6"/>
    <s v="June"/>
    <s v="OK"/>
    <s v="Unique"/>
    <s v="Ready"/>
    <s v="Yaqshid - Fraud"/>
  </r>
  <r>
    <s v="CRM00129"/>
    <d v="2026-07-29T00:00:00"/>
    <s v="Fraud"/>
    <s v="Daynile"/>
    <s v="Female"/>
    <x v="1"/>
    <s v="Medium"/>
    <n v="2026"/>
    <n v="7"/>
    <s v="July"/>
    <s v="OK"/>
    <s v="Unique"/>
    <s v="Ready"/>
    <s v="Hodan - Fraud"/>
  </r>
  <r>
    <s v="CRM00128"/>
    <d v="2026-07-12T00:00:00"/>
    <s v="Traffic Offense"/>
    <s v="Karan"/>
    <s v="Male"/>
    <x v="1"/>
    <s v="Low"/>
    <n v="2026"/>
    <n v="7"/>
    <s v="July"/>
    <s v="OK"/>
    <s v="Unique"/>
    <s v="Ready"/>
    <s v="Karan - Robbery"/>
  </r>
  <r>
    <s v="CRM00127"/>
    <d v="2026-05-03T00:00:00"/>
    <s v="Fraud"/>
    <s v="Wadajir"/>
    <s v="Male"/>
    <x v="2"/>
    <s v="Medium"/>
    <n v="2026"/>
    <n v="5"/>
    <s v="May"/>
    <s v="OK"/>
    <s v="Unique"/>
    <s v="Ready"/>
    <s v="Wadajir - Theft"/>
  </r>
  <r>
    <s v="CRM00126"/>
    <d v="2026-01-12T00:00:00"/>
    <s v="Theft"/>
    <s v="Hodan"/>
    <s v="Unknown"/>
    <x v="0"/>
    <s v="Medium"/>
    <n v="2026"/>
    <n v="1"/>
    <s v="January"/>
    <s v="Needs Review"/>
    <s v="Unique"/>
    <s v="Review"/>
    <s v="Yaqshid - Theft"/>
  </r>
  <r>
    <s v="CRM00125"/>
    <d v="2026-04-16T00:00:00"/>
    <s v="Assault"/>
    <s v="Wadajir"/>
    <s v="Unknown"/>
    <x v="2"/>
    <s v="High"/>
    <n v="2026"/>
    <n v="4"/>
    <s v="April"/>
    <s v="Needs Review"/>
    <s v="Unique"/>
    <s v="Review"/>
    <s v="Wadajir - Traffic Offense"/>
  </r>
  <r>
    <s v="CRM00124"/>
    <d v="2025-05-26T00:00:00"/>
    <s v="Robbery"/>
    <s v="Wadajir"/>
    <s v="Unknown"/>
    <x v="0"/>
    <s v="High"/>
    <n v="2025"/>
    <n v="5"/>
    <s v="May"/>
    <s v="Needs Review"/>
    <s v="Unique"/>
    <s v="Review"/>
    <s v="Wadajir - Theft"/>
  </r>
  <r>
    <s v="CRM00123"/>
    <d v="2025-01-21T00:00:00"/>
    <s v="Theft"/>
    <s v="Yaqshid"/>
    <s v="Unknown"/>
    <x v="1"/>
    <s v="Medium"/>
    <n v="2025"/>
    <n v="1"/>
    <s v="January"/>
    <s v="Needs Review"/>
    <s v="Unique"/>
    <s v="Review"/>
    <s v="Hodan - Assault"/>
  </r>
  <r>
    <s v="CRM00122"/>
    <d v="2025-12-12T00:00:00"/>
    <s v="Theft"/>
    <s v="Hodan"/>
    <s v="Female"/>
    <x v="3"/>
    <s v="Medium"/>
    <n v="2025"/>
    <n v="12"/>
    <s v="December"/>
    <s v="OK"/>
    <s v="Unique"/>
    <s v="Ready"/>
    <s v="Wadajir - Theft"/>
  </r>
  <r>
    <s v="CRM00121"/>
    <d v="2025-07-26T00:00:00"/>
    <s v="Theft"/>
    <s v="Daynile"/>
    <s v="Male"/>
    <x v="2"/>
    <s v="Low"/>
    <n v="2025"/>
    <n v="7"/>
    <s v="July"/>
    <s v="OK"/>
    <s v="Unique"/>
    <s v="Ready"/>
    <s v="Wadajir - Assault"/>
  </r>
  <r>
    <s v="CRM00120"/>
    <d v="2025-10-15T00:00:00"/>
    <s v="Fraud"/>
    <s v="Hodan"/>
    <s v="Unknown"/>
    <x v="2"/>
    <s v="Medium"/>
    <n v="2025"/>
    <n v="10"/>
    <s v="October"/>
    <s v="Needs Review"/>
    <s v="Unique"/>
    <s v="Review"/>
    <s v="Hodan - Fraud"/>
  </r>
  <r>
    <s v="CRM00119"/>
    <d v="2025-11-13T00:00:00"/>
    <s v="Robbery"/>
    <s v="Yaqshid"/>
    <s v="Male"/>
    <x v="1"/>
    <s v="High"/>
    <n v="2025"/>
    <n v="11"/>
    <s v="November"/>
    <s v="OK"/>
    <s v="Unique"/>
    <s v="Ready"/>
    <s v="Wadajir - Theft"/>
  </r>
  <r>
    <s v="CRM00118"/>
    <d v="2025-06-24T00:00:00"/>
    <s v="Theft"/>
    <s v="Hodan"/>
    <s v="Male"/>
    <x v="2"/>
    <s v="Medium"/>
    <n v="2025"/>
    <n v="6"/>
    <s v="June"/>
    <s v="OK"/>
    <s v="Unique"/>
    <s v="Ready"/>
    <s v="Hodan - Theft"/>
  </r>
  <r>
    <s v="CRM00117"/>
    <d v="2026-07-31T00:00:00"/>
    <s v="Theft"/>
    <s v="Wadajir"/>
    <s v="Male"/>
    <x v="1"/>
    <s v="Medium"/>
    <n v="2026"/>
    <n v="7"/>
    <s v="July"/>
    <s v="OK"/>
    <s v="Unique"/>
    <s v="Ready"/>
    <s v="Waberi - Traffic Offense"/>
  </r>
  <r>
    <s v="CRM00116"/>
    <d v="2025-04-07T00:00:00"/>
    <s v="Assault"/>
    <s v="Waberi"/>
    <s v="Male"/>
    <x v="1"/>
    <s v="High"/>
    <n v="2025"/>
    <n v="4"/>
    <s v="April"/>
    <s v="OK"/>
    <s v="Unique"/>
    <s v="Ready"/>
    <s v="Wadajir - Theft"/>
  </r>
  <r>
    <s v="CRM00114"/>
    <d v="2025-11-23T00:00:00"/>
    <s v="Assault"/>
    <s v="Hodan"/>
    <s v="Male"/>
    <x v="1"/>
    <s v="High"/>
    <n v="2025"/>
    <n v="11"/>
    <s v="November"/>
    <s v="OK"/>
    <s v="Unique"/>
    <s v="Ready"/>
    <s v="Wadajir - Fraud"/>
  </r>
  <r>
    <s v="CRM00113"/>
    <d v="2025-09-01T00:00:00"/>
    <s v="Robbery"/>
    <s v="Hodan"/>
    <s v="Male"/>
    <x v="1"/>
    <s v="High"/>
    <n v="2025"/>
    <n v="9"/>
    <s v="September"/>
    <s v="OK"/>
    <s v="Unique"/>
    <s v="Ready"/>
    <s v="Hodan - Theft"/>
  </r>
  <r>
    <s v="CRM00112"/>
    <d v="2025-08-01T00:00:00"/>
    <s v="Theft"/>
    <s v="Karan"/>
    <s v="Unknown"/>
    <x v="0"/>
    <s v="Medium"/>
    <n v="2025"/>
    <n v="8"/>
    <s v="August"/>
    <s v="Needs Review"/>
    <s v="Unique"/>
    <s v="Review"/>
    <s v="Hodan - Assault"/>
  </r>
  <r>
    <s v="CRM00111"/>
    <d v="2026-05-29T00:00:00"/>
    <s v="Theft"/>
    <s v="Daynile"/>
    <s v="Male"/>
    <x v="1"/>
    <s v="Medium"/>
    <n v="2026"/>
    <n v="5"/>
    <s v="May"/>
    <s v="OK"/>
    <s v="Unique"/>
    <s v="Ready"/>
    <s v="Wadajir - Traffic Offense"/>
  </r>
  <r>
    <s v="CRM00109"/>
    <d v="2026-03-23T00:00:00"/>
    <s v="Robbery"/>
    <s v="Yaqshid"/>
    <s v="Male"/>
    <x v="1"/>
    <s v="Medium"/>
    <n v="2026"/>
    <n v="3"/>
    <s v="March"/>
    <s v="OK"/>
    <s v="Unique"/>
    <s v="Ready"/>
    <s v="Hodan - Traffic Offense"/>
  </r>
  <r>
    <s v="CRM00107"/>
    <d v="2025-08-24T00:00:00"/>
    <s v="Robbery"/>
    <s v="Waberi"/>
    <s v="Male"/>
    <x v="2"/>
    <s v="High"/>
    <n v="2025"/>
    <n v="8"/>
    <s v="August"/>
    <s v="OK"/>
    <s v="Unique"/>
    <s v="Ready"/>
    <s v="Hodan - Theft"/>
  </r>
  <r>
    <s v="CRM00106"/>
    <d v="2026-04-18T00:00:00"/>
    <s v="Theft"/>
    <s v="Waberi"/>
    <s v="Unknown"/>
    <x v="0"/>
    <s v="Medium"/>
    <n v="2026"/>
    <n v="4"/>
    <s v="April"/>
    <s v="Needs Review"/>
    <s v="Unique"/>
    <s v="Review"/>
    <s v="Hodan - Traffic Offense"/>
  </r>
  <r>
    <s v="CRM00105"/>
    <d v="2025-04-08T00:00:00"/>
    <s v="Traffic Offense"/>
    <s v="Karan"/>
    <s v="Male"/>
    <x v="1"/>
    <s v="Low"/>
    <n v="2025"/>
    <n v="4"/>
    <s v="April"/>
    <s v="OK"/>
    <s v="Unique"/>
    <s v="Ready"/>
    <s v="Hodan - Theft"/>
  </r>
  <r>
    <s v="CRM00104"/>
    <d v="2025-05-16T00:00:00"/>
    <s v="Robbery"/>
    <s v="Yaqshid"/>
    <s v="Male"/>
    <x v="3"/>
    <s v="High"/>
    <n v="2025"/>
    <n v="5"/>
    <s v="May"/>
    <s v="OK"/>
    <s v="Unique"/>
    <s v="Ready"/>
    <s v="Yaqshid - Robbery"/>
  </r>
  <r>
    <s v="CRM00103"/>
    <d v="2026-02-14T00:00:00"/>
    <s v="Robbery"/>
    <s v="Hodan"/>
    <s v="Female"/>
    <x v="1"/>
    <s v="High"/>
    <n v="2026"/>
    <n v="2"/>
    <s v="February"/>
    <s v="OK"/>
    <s v="Unique"/>
    <s v="Ready"/>
    <s v="Hodan - Theft"/>
  </r>
  <r>
    <s v="CRM00102"/>
    <d v="2025-10-30T00:00:00"/>
    <s v="Theft"/>
    <s v="Yaqshid"/>
    <s v="Female"/>
    <x v="1"/>
    <s v="Medium"/>
    <n v="2025"/>
    <n v="10"/>
    <s v="October"/>
    <s v="OK"/>
    <s v="Unique"/>
    <s v="Ready"/>
    <s v="Hodan - Robbery"/>
  </r>
  <r>
    <s v="CRM00101"/>
    <d v="2025-03-13T00:00:00"/>
    <s v="Assault"/>
    <s v="Hodan"/>
    <s v="Male"/>
    <x v="0"/>
    <s v="High"/>
    <n v="2025"/>
    <n v="3"/>
    <s v="March"/>
    <s v="OK"/>
    <s v="Unique"/>
    <s v="Ready"/>
    <s v="Waberi - Theft"/>
  </r>
  <r>
    <s v="CRM00100"/>
    <d v="2025-08-15T00:00:00"/>
    <s v="Traffic Offense"/>
    <s v="Wadajir"/>
    <s v="Unknown"/>
    <x v="3"/>
    <s v="Low"/>
    <n v="2025"/>
    <n v="8"/>
    <s v="August"/>
    <s v="Needs Review"/>
    <s v="Unique"/>
    <s v="Review"/>
    <s v="Hodan - Fraud"/>
  </r>
  <r>
    <s v="CRM00099"/>
    <d v="2026-04-17T00:00:00"/>
    <s v="Theft"/>
    <s v="Wadajir"/>
    <s v="Male"/>
    <x v="2"/>
    <s v="Medium"/>
    <n v="2026"/>
    <n v="4"/>
    <s v="April"/>
    <s v="OK"/>
    <s v="Unique"/>
    <s v="Ready"/>
    <s v="Daynile - Assault"/>
  </r>
  <r>
    <s v="CRM00098"/>
    <d v="2025-05-07T00:00:00"/>
    <s v="Fraud"/>
    <s v="Hodan"/>
    <s v="Male"/>
    <x v="1"/>
    <s v="Medium"/>
    <n v="2025"/>
    <n v="5"/>
    <s v="May"/>
    <s v="OK"/>
    <s v="Unique"/>
    <s v="Ready"/>
    <s v="Waberi - Robbery"/>
  </r>
  <r>
    <s v="CRM00097"/>
    <d v="2026-07-13T00:00:00"/>
    <s v="Assault"/>
    <s v="Waberi"/>
    <s v="Female"/>
    <x v="3"/>
    <s v="High"/>
    <n v="2026"/>
    <n v="7"/>
    <s v="July"/>
    <s v="OK"/>
    <s v="Unique"/>
    <s v="Ready"/>
    <s v="Hodan - Fraud"/>
  </r>
  <r>
    <s v="CRM00096"/>
    <d v="2025-04-08T00:00:00"/>
    <s v="Fraud"/>
    <s v="Daynile"/>
    <s v="Male"/>
    <x v="3"/>
    <s v="Medium"/>
    <n v="2025"/>
    <n v="4"/>
    <s v="April"/>
    <s v="OK"/>
    <s v="Unique"/>
    <s v="Ready"/>
    <s v="Daynile - Robbery"/>
  </r>
  <r>
    <s v="CRM00094"/>
    <d v="2026-02-08T00:00:00"/>
    <s v="Theft"/>
    <s v="Wadajir"/>
    <s v="Male"/>
    <x v="1"/>
    <s v="Medium"/>
    <n v="2026"/>
    <n v="2"/>
    <s v="February"/>
    <s v="OK"/>
    <s v="Unique"/>
    <s v="Ready"/>
    <s v="Waberi - Fraud"/>
  </r>
  <r>
    <s v="CRM00093"/>
    <d v="2025-05-30T00:00:00"/>
    <s v="Theft"/>
    <s v="Waberi"/>
    <s v="Male"/>
    <x v="1"/>
    <s v="Medium"/>
    <n v="2025"/>
    <n v="5"/>
    <s v="May"/>
    <s v="OK"/>
    <s v="Unique"/>
    <s v="Ready"/>
    <s v="Wadajir - Burglary"/>
  </r>
  <r>
    <s v="CRM00092"/>
    <d v="2026-03-10T00:00:00"/>
    <s v="Assault"/>
    <s v="Hodan"/>
    <s v="Female"/>
    <x v="1"/>
    <s v="Medium"/>
    <n v="2026"/>
    <n v="3"/>
    <s v="March"/>
    <s v="OK"/>
    <s v="Unique"/>
    <s v="Ready"/>
    <s v="Yaqshid - Theft"/>
  </r>
  <r>
    <s v="CRM00091"/>
    <d v="2026-04-15T00:00:00"/>
    <s v="Robbery"/>
    <s v="Hodan"/>
    <s v="Male"/>
    <x v="1"/>
    <s v="High"/>
    <n v="2026"/>
    <n v="4"/>
    <s v="April"/>
    <s v="OK"/>
    <s v="Unique"/>
    <s v="Ready"/>
    <s v="Hodan - Assault"/>
  </r>
  <r>
    <s v="CRM00090"/>
    <d v="2025-12-04T00:00:00"/>
    <s v="Assault"/>
    <s v="Karan"/>
    <s v="Male"/>
    <x v="1"/>
    <s v="High"/>
    <n v="2025"/>
    <n v="12"/>
    <s v="December"/>
    <s v="OK"/>
    <s v="Unique"/>
    <s v="Ready"/>
    <s v="Karan - Assault"/>
  </r>
  <r>
    <s v="CRM00088"/>
    <d v="2025-09-30T00:00:00"/>
    <s v="Robbery"/>
    <s v="Wadajir"/>
    <s v="Male"/>
    <x v="3"/>
    <s v="High"/>
    <n v="2025"/>
    <n v="9"/>
    <s v="September"/>
    <s v="OK"/>
    <s v="Unique"/>
    <s v="Ready"/>
    <s v="Wadajir - Theft"/>
  </r>
  <r>
    <s v="CRM00087"/>
    <d v="2025-09-09T00:00:00"/>
    <s v="Burglary"/>
    <s v="Yaqshid"/>
    <s v="Unknown"/>
    <x v="0"/>
    <s v="Medium"/>
    <n v="2025"/>
    <n v="9"/>
    <s v="September"/>
    <s v="Needs Review"/>
    <s v="Unique"/>
    <s v="Review"/>
    <s v="Wadajir - Theft"/>
  </r>
  <r>
    <s v="CRM00086"/>
    <d v="2025-10-14T00:00:00"/>
    <s v="Fraud"/>
    <s v="Daynile"/>
    <s v="Female"/>
    <x v="3"/>
    <s v="Medium"/>
    <n v="2025"/>
    <n v="10"/>
    <s v="October"/>
    <s v="OK"/>
    <s v="Unique"/>
    <s v="Ready"/>
    <s v="Hodan - Fraud"/>
  </r>
  <r>
    <s v="CRM00085"/>
    <d v="2025-12-09T00:00:00"/>
    <s v="Theft"/>
    <s v="Hodan"/>
    <s v="Male"/>
    <x v="0"/>
    <s v="Medium"/>
    <n v="2025"/>
    <n v="12"/>
    <s v="December"/>
    <s v="OK"/>
    <s v="Unique"/>
    <s v="Ready"/>
    <s v="Karan - Theft"/>
  </r>
  <r>
    <s v="CRM00083"/>
    <d v="2025-06-25T00:00:00"/>
    <s v="Fraud"/>
    <s v="Hodan"/>
    <s v="Female"/>
    <x v="0"/>
    <s v="Medium"/>
    <n v="2025"/>
    <n v="6"/>
    <s v="June"/>
    <s v="OK"/>
    <s v="Unique"/>
    <s v="Ready"/>
    <s v="Hodan - Fraud"/>
  </r>
  <r>
    <s v="CRM00082"/>
    <d v="2025-01-25T00:00:00"/>
    <s v="Theft"/>
    <s v="Daynile"/>
    <s v="Female"/>
    <x v="3"/>
    <s v="Medium"/>
    <n v="2025"/>
    <n v="1"/>
    <s v="January"/>
    <s v="OK"/>
    <s v="Unique"/>
    <s v="Ready"/>
    <s v="Waberi - Theft"/>
  </r>
  <r>
    <s v="CRM00081"/>
    <d v="2025-06-22T00:00:00"/>
    <s v="Theft"/>
    <s v="Karan"/>
    <s v="Male"/>
    <x v="1"/>
    <s v="Medium"/>
    <n v="2025"/>
    <n v="6"/>
    <s v="June"/>
    <s v="OK"/>
    <s v="Unique"/>
    <s v="Ready"/>
    <s v="Yaqshid - Burglary"/>
  </r>
  <r>
    <s v="CRM00078"/>
    <d v="2026-03-06T00:00:00"/>
    <s v="Traffic Offense"/>
    <s v="Hodan"/>
    <s v="Male"/>
    <x v="1"/>
    <s v="Low"/>
    <n v="2026"/>
    <n v="3"/>
    <s v="March"/>
    <s v="OK"/>
    <s v="Unique"/>
    <s v="Ready"/>
    <s v="Wadajir - Traffic Offense"/>
  </r>
  <r>
    <s v="CRM00077"/>
    <d v="2026-05-01T00:00:00"/>
    <s v="Traffic Offense"/>
    <s v="Hodan"/>
    <s v="Male"/>
    <x v="1"/>
    <s v="High"/>
    <n v="2026"/>
    <n v="5"/>
    <s v="May"/>
    <s v="OK"/>
    <s v="Unique"/>
    <s v="Ready"/>
    <s v="Hodan - Fraud"/>
  </r>
  <r>
    <s v="CRM00076"/>
    <d v="2025-11-30T00:00:00"/>
    <s v="Theft"/>
    <s v="Yaqshid"/>
    <s v="Female"/>
    <x v="2"/>
    <s v="Medium"/>
    <n v="2025"/>
    <n v="11"/>
    <s v="November"/>
    <s v="OK"/>
    <s v="Unique"/>
    <s v="Ready"/>
    <s v="Hodan - Theft"/>
  </r>
  <r>
    <s v="CRM00075"/>
    <d v="2025-12-11T00:00:00"/>
    <s v="Theft"/>
    <s v="Hodan"/>
    <s v="Female"/>
    <x v="0"/>
    <s v="Medium"/>
    <n v="2025"/>
    <n v="12"/>
    <s v="December"/>
    <s v="OK"/>
    <s v="Unique"/>
    <s v="Ready"/>
    <s v="Daynile - Traffic Offense"/>
  </r>
  <r>
    <s v="CRM00074"/>
    <d v="2025-09-24T00:00:00"/>
    <s v="Theft"/>
    <s v="Hodan"/>
    <s v="Female"/>
    <x v="3"/>
    <s v="Medium"/>
    <n v="2025"/>
    <n v="9"/>
    <s v="September"/>
    <s v="OK"/>
    <s v="Unique"/>
    <s v="Ready"/>
    <s v="Wadajir - Fraud"/>
  </r>
  <r>
    <s v="CRM00073"/>
    <d v="2025-11-13T00:00:00"/>
    <s v="Traffic Offense"/>
    <s v="Yaqshid"/>
    <s v="Female"/>
    <x v="3"/>
    <s v="Low"/>
    <n v="2025"/>
    <n v="11"/>
    <s v="November"/>
    <s v="OK"/>
    <s v="Unique"/>
    <s v="Ready"/>
    <s v="Waberi - Theft"/>
  </r>
  <r>
    <s v="CRM00072"/>
    <d v="2025-02-06T00:00:00"/>
    <s v="Fraud"/>
    <s v="Yaqshid"/>
    <s v="Female"/>
    <x v="2"/>
    <s v="Medium"/>
    <n v="2025"/>
    <n v="2"/>
    <s v="February"/>
    <s v="OK"/>
    <s v="Unique"/>
    <s v="Ready"/>
    <s v="Daynile - Assault"/>
  </r>
  <r>
    <s v="CRM00071"/>
    <d v="2026-07-20T00:00:00"/>
    <s v="Traffic Offense"/>
    <s v="Daynile"/>
    <s v="Male"/>
    <x v="1"/>
    <s v="Low"/>
    <n v="2026"/>
    <n v="7"/>
    <s v="July"/>
    <s v="OK"/>
    <s v="Unique"/>
    <s v="Ready"/>
    <s v="Hodan - Robbery"/>
  </r>
  <r>
    <s v="CRM00070"/>
    <d v="2026-01-22T00:00:00"/>
    <s v="Robbery"/>
    <s v="Hodan"/>
    <s v="Male"/>
    <x v="1"/>
    <s v="High"/>
    <n v="2026"/>
    <n v="1"/>
    <s v="January"/>
    <s v="OK"/>
    <s v="Unique"/>
    <s v="Ready"/>
    <s v="Hodan - Robbery"/>
  </r>
  <r>
    <s v="CRM00068"/>
    <d v="2025-08-20T00:00:00"/>
    <s v="Theft"/>
    <s v="Yaqshid"/>
    <s v="Female"/>
    <x v="1"/>
    <s v="Medium"/>
    <n v="2025"/>
    <n v="8"/>
    <s v="August"/>
    <s v="OK"/>
    <s v="Unique"/>
    <s v="Ready"/>
    <s v="Wadajir - Burglary"/>
  </r>
  <r>
    <s v="CRM00067"/>
    <d v="2025-11-27T00:00:00"/>
    <s v="Theft"/>
    <s v="Hodan"/>
    <s v="Male"/>
    <x v="1"/>
    <s v="Medium"/>
    <n v="2025"/>
    <n v="11"/>
    <s v="November"/>
    <s v="OK"/>
    <s v="Unique"/>
    <s v="Ready"/>
    <s v="Hodan - Theft"/>
  </r>
  <r>
    <s v="CRM00066"/>
    <d v="2025-06-14T00:00:00"/>
    <s v="Burglary"/>
    <s v="Wadajir"/>
    <s v="Female"/>
    <x v="3"/>
    <s v="Medium"/>
    <n v="2025"/>
    <n v="6"/>
    <s v="June"/>
    <s v="OK"/>
    <s v="Unique"/>
    <s v="Ready"/>
    <s v="Hodan - Fraud"/>
  </r>
  <r>
    <s v="CRM00065"/>
    <d v="2025-03-07T00:00:00"/>
    <s v="Fraud"/>
    <s v="Yaqshid"/>
    <s v="Male"/>
    <x v="1"/>
    <s v="Medium"/>
    <n v="2025"/>
    <n v="3"/>
    <s v="March"/>
    <s v="OK"/>
    <s v="Unique"/>
    <s v="Ready"/>
    <s v="Yaqshid - Assault"/>
  </r>
  <r>
    <s v="CRM00064"/>
    <d v="2025-08-16T00:00:00"/>
    <s v="Robbery"/>
    <s v="Karan"/>
    <s v="Male"/>
    <x v="0"/>
    <s v="Medium"/>
    <n v="2025"/>
    <n v="8"/>
    <s v="August"/>
    <s v="OK"/>
    <s v="Unique"/>
    <s v="Ready"/>
    <s v="Daynile - Traffic Offense"/>
  </r>
  <r>
    <s v="CRM00063"/>
    <d v="2025-07-29T00:00:00"/>
    <s v="Burglary"/>
    <s v="Yaqshid"/>
    <s v="Female"/>
    <x v="1"/>
    <s v="Medium"/>
    <n v="2025"/>
    <n v="7"/>
    <s v="July"/>
    <s v="OK"/>
    <s v="Unique"/>
    <s v="Ready"/>
    <s v="Hodan - Traffic Offense"/>
  </r>
  <r>
    <s v="CRM00062"/>
    <d v="2026-07-03T00:00:00"/>
    <s v="Fraud"/>
    <s v="Hodan"/>
    <s v="Male"/>
    <x v="2"/>
    <s v="Medium"/>
    <n v="2026"/>
    <n v="7"/>
    <s v="July"/>
    <s v="OK"/>
    <s v="Unique"/>
    <s v="Ready"/>
    <s v="Karan - Robbery"/>
  </r>
  <r>
    <s v="CRM00061"/>
    <d v="2025-04-14T00:00:00"/>
    <s v="Theft"/>
    <s v="Wadajir"/>
    <s v="Male"/>
    <x v="0"/>
    <s v="Medium"/>
    <n v="2025"/>
    <n v="4"/>
    <s v="April"/>
    <s v="OK"/>
    <s v="Unique"/>
    <s v="Ready"/>
    <s v="Wadajir - Traffic Offense"/>
  </r>
  <r>
    <s v="CRM00060"/>
    <d v="2026-01-29T00:00:00"/>
    <s v="Fraud"/>
    <s v="Wadajir"/>
    <s v="Female"/>
    <x v="3"/>
    <s v="High"/>
    <n v="2026"/>
    <n v="1"/>
    <s v="January"/>
    <s v="OK"/>
    <s v="Unique"/>
    <s v="Ready"/>
    <s v="Hodan - Theft"/>
  </r>
  <r>
    <s v="CRM00059"/>
    <d v="2025-02-22T00:00:00"/>
    <s v="Theft"/>
    <s v="Wadajir"/>
    <s v="Unknown"/>
    <x v="0"/>
    <s v="Medium"/>
    <n v="2025"/>
    <n v="2"/>
    <s v="February"/>
    <s v="Needs Review"/>
    <s v="Unique"/>
    <s v="Review"/>
    <s v="Hodan - Traffic Offense"/>
  </r>
  <r>
    <s v="CRM00058"/>
    <d v="2025-03-30T00:00:00"/>
    <s v="Theft"/>
    <s v="Hodan"/>
    <s v="Unknown"/>
    <x v="1"/>
    <s v="Medium"/>
    <n v="2025"/>
    <n v="3"/>
    <s v="March"/>
    <s v="Needs Review"/>
    <s v="Unique"/>
    <s v="Review"/>
    <s v="Hodan - Fraud"/>
  </r>
  <r>
    <s v="CRM00057"/>
    <d v="2025-01-24T00:00:00"/>
    <s v="Traffic Offense"/>
    <s v="Waberi"/>
    <s v="Female"/>
    <x v="3"/>
    <s v="Low"/>
    <n v="2025"/>
    <n v="1"/>
    <s v="January"/>
    <s v="OK"/>
    <s v="Unique"/>
    <s v="Ready"/>
    <s v="Waberi - Burglary"/>
  </r>
  <r>
    <s v="CRM00055"/>
    <d v="2025-09-08T00:00:00"/>
    <s v="Traffic Offense"/>
    <s v="Waberi"/>
    <s v="Male"/>
    <x v="3"/>
    <s v="Low"/>
    <n v="2025"/>
    <n v="9"/>
    <s v="September"/>
    <s v="OK"/>
    <s v="Unique"/>
    <s v="Ready"/>
    <s v="Yaqshid - Assault"/>
  </r>
  <r>
    <s v="CRM00054"/>
    <d v="2025-07-11T00:00:00"/>
    <s v="Theft"/>
    <s v="Karan"/>
    <s v="Male"/>
    <x v="1"/>
    <s v="Low"/>
    <n v="2025"/>
    <n v="7"/>
    <s v="July"/>
    <s v="OK"/>
    <s v="Unique"/>
    <s v="Ready"/>
    <s v="Waberi - Assault"/>
  </r>
  <r>
    <s v="CRM00053"/>
    <d v="2026-07-12T00:00:00"/>
    <s v="Robbery"/>
    <s v="Waberi"/>
    <s v="Female"/>
    <x v="1"/>
    <s v="High"/>
    <n v="2026"/>
    <n v="7"/>
    <s v="July"/>
    <s v="OK"/>
    <s v="Unique"/>
    <s v="Ready"/>
    <s v="Waberi - Theft"/>
  </r>
  <r>
    <s v="CRM00052"/>
    <d v="2025-02-03T00:00:00"/>
    <s v="Robbery"/>
    <s v="Wadajir"/>
    <s v="Female"/>
    <x v="3"/>
    <s v="Medium"/>
    <n v="2025"/>
    <n v="2"/>
    <s v="February"/>
    <s v="OK"/>
    <s v="Unique"/>
    <s v="Ready"/>
    <s v="Hodan - Assault"/>
  </r>
  <r>
    <s v="CRM00051"/>
    <d v="2025-09-21T00:00:00"/>
    <s v="Assault"/>
    <s v="Daynile"/>
    <s v="Female"/>
    <x v="3"/>
    <s v="High"/>
    <n v="2025"/>
    <n v="9"/>
    <s v="September"/>
    <s v="OK"/>
    <s v="Unique"/>
    <s v="Ready"/>
    <s v="Wadajir - Traffic Offense"/>
  </r>
  <r>
    <s v="CRM00050"/>
    <d v="2026-07-27T00:00:00"/>
    <s v="Fraud"/>
    <s v="Yaqshid"/>
    <s v="Male"/>
    <x v="1"/>
    <s v="Medium"/>
    <n v="2026"/>
    <n v="7"/>
    <s v="July"/>
    <s v="OK"/>
    <s v="Unique"/>
    <s v="Ready"/>
    <s v="Karan - Assault"/>
  </r>
  <r>
    <s v="CRM00049"/>
    <d v="2026-07-05T00:00:00"/>
    <s v="Burglary"/>
    <s v="Yaqshid"/>
    <s v="Unknown"/>
    <x v="3"/>
    <s v="Medium"/>
    <n v="2026"/>
    <n v="7"/>
    <s v="July"/>
    <s v="Needs Review"/>
    <s v="Unique"/>
    <s v="Review"/>
    <s v="Yaqshid - Theft"/>
  </r>
  <r>
    <s v="CRM00048"/>
    <d v="2026-07-12T00:00:00"/>
    <s v="Theft"/>
    <s v="Wadajir"/>
    <s v="Female"/>
    <x v="3"/>
    <s v="Medium"/>
    <n v="2026"/>
    <n v="7"/>
    <s v="July"/>
    <s v="OK"/>
    <s v="Unique"/>
    <s v="Ready"/>
    <s v="Hodan - Fraud"/>
  </r>
  <r>
    <s v="CRM00047"/>
    <d v="2025-12-17T00:00:00"/>
    <s v="Assault"/>
    <s v="Hodan"/>
    <s v="Female"/>
    <x v="3"/>
    <s v="High"/>
    <n v="2025"/>
    <n v="12"/>
    <s v="December"/>
    <s v="OK"/>
    <s v="Unique"/>
    <s v="Ready"/>
    <s v="Hodan - Burglary"/>
  </r>
  <r>
    <s v="CRM00046"/>
    <d v="2025-12-25T00:00:00"/>
    <s v="Fraud"/>
    <s v="Wadajir"/>
    <s v="Unknown"/>
    <x v="0"/>
    <s v="Medium"/>
    <n v="2025"/>
    <n v="12"/>
    <s v="December"/>
    <s v="Needs Review"/>
    <s v="Unique"/>
    <s v="Review"/>
    <s v="Wadajir - Theft"/>
  </r>
  <r>
    <s v="CRM00045"/>
    <d v="2025-09-22T00:00:00"/>
    <s v="Robbery"/>
    <s v="Hodan"/>
    <s v="Male"/>
    <x v="1"/>
    <s v="High"/>
    <n v="2025"/>
    <n v="9"/>
    <s v="September"/>
    <s v="OK"/>
    <s v="Unique"/>
    <s v="Ready"/>
    <s v="Wadajir - Theft"/>
  </r>
  <r>
    <s v="CRM00044"/>
    <d v="2026-07-15T00:00:00"/>
    <s v="Traffic Offense"/>
    <s v="Wadajir"/>
    <s v="Male"/>
    <x v="0"/>
    <s v="Low"/>
    <n v="2026"/>
    <n v="7"/>
    <s v="July"/>
    <s v="OK"/>
    <s v="Unique"/>
    <s v="Ready"/>
    <s v="Wadajir - Assault"/>
  </r>
  <r>
    <s v="CRM00043"/>
    <d v="2025-07-10T00:00:00"/>
    <s v="Robbery"/>
    <s v="Hodan"/>
    <s v="Female"/>
    <x v="1"/>
    <s v="High"/>
    <n v="2025"/>
    <n v="7"/>
    <s v="July"/>
    <s v="OK"/>
    <s v="Unique"/>
    <s v="Ready"/>
    <s v="Yaqshid - Robbery"/>
  </r>
  <r>
    <s v="CRM00042"/>
    <d v="2026-07-12T00:00:00"/>
    <s v="Fraud"/>
    <s v="Hodan"/>
    <s v="Female"/>
    <x v="0"/>
    <s v="Medium"/>
    <n v="2026"/>
    <n v="7"/>
    <s v="July"/>
    <s v="OK"/>
    <s v="Unique"/>
    <s v="Ready"/>
    <s v="Hodan - Robbery"/>
  </r>
  <r>
    <s v="CRM00041"/>
    <d v="2026-01-30T00:00:00"/>
    <s v="Theft"/>
    <s v="Yaqshid"/>
    <s v="Female"/>
    <x v="3"/>
    <s v="Medium"/>
    <n v="2026"/>
    <n v="1"/>
    <s v="January"/>
    <s v="OK"/>
    <s v="Unique"/>
    <s v="Ready"/>
    <s v="Wadajir - Fraud"/>
  </r>
  <r>
    <s v="CRM00040"/>
    <d v="2025-06-09T00:00:00"/>
    <s v="Theft"/>
    <s v="Karan"/>
    <s v="Male"/>
    <x v="3"/>
    <s v="Medium"/>
    <n v="2025"/>
    <n v="6"/>
    <s v="June"/>
    <s v="OK"/>
    <s v="Unique"/>
    <s v="Ready"/>
    <s v="Yaqshid - Burglary"/>
  </r>
  <r>
    <s v="CRM00039"/>
    <d v="2026-07-19T00:00:00"/>
    <s v="Fraud"/>
    <s v="Hodan"/>
    <s v="Male"/>
    <x v="3"/>
    <s v="Medium"/>
    <n v="2026"/>
    <n v="7"/>
    <s v="July"/>
    <s v="OK"/>
    <s v="Unique"/>
    <s v="Ready"/>
    <s v="Wadajir - Assault"/>
  </r>
  <r>
    <s v="CRM00038"/>
    <d v="2026-04-12T00:00:00"/>
    <s v="Theft"/>
    <s v="Hodan"/>
    <s v="Male"/>
    <x v="1"/>
    <s v="Medium"/>
    <n v="2026"/>
    <n v="4"/>
    <s v="April"/>
    <s v="OK"/>
    <s v="Unique"/>
    <s v="Ready"/>
    <s v="Daynile - Fraud"/>
  </r>
  <r>
    <s v="CRM00037"/>
    <d v="2026-07-12T00:00:00"/>
    <s v="Traffic Offense"/>
    <s v="Waberi"/>
    <s v="Male"/>
    <x v="0"/>
    <s v="Low"/>
    <n v="2026"/>
    <n v="7"/>
    <s v="July"/>
    <s v="OK"/>
    <s v="Unique"/>
    <s v="Ready"/>
    <s v="Daynile - Theft"/>
  </r>
  <r>
    <s v="CRM00036"/>
    <d v="2026-07-12T00:00:00"/>
    <s v="Robbery"/>
    <s v="Hodan"/>
    <s v="Male"/>
    <x v="0"/>
    <s v="High"/>
    <n v="2026"/>
    <n v="7"/>
    <s v="July"/>
    <s v="OK"/>
    <s v="Unique"/>
    <s v="Ready"/>
    <s v="Yaqshid - Theft"/>
  </r>
  <r>
    <s v="CRM00035"/>
    <d v="2025-06-09T00:00:00"/>
    <s v="Traffic Offense"/>
    <s v="Karan"/>
    <s v="Male"/>
    <x v="3"/>
    <s v="Low"/>
    <n v="2025"/>
    <n v="6"/>
    <s v="June"/>
    <s v="OK"/>
    <s v="Unique"/>
    <s v="Ready"/>
    <s v="Yaqshid - Fraud"/>
  </r>
  <r>
    <s v="CRM00034"/>
    <d v="2026-04-06T00:00:00"/>
    <s v="Fraud"/>
    <s v="Hodan"/>
    <s v="Male"/>
    <x v="3"/>
    <s v="Medium"/>
    <n v="2026"/>
    <n v="4"/>
    <s v="April"/>
    <s v="OK"/>
    <s v="Unique"/>
    <s v="Ready"/>
    <s v="Hodan - Theft"/>
  </r>
  <r>
    <s v="CRM00033"/>
    <d v="2026-02-28T00:00:00"/>
    <s v="Robbery"/>
    <s v="Wadajir"/>
    <s v="Female"/>
    <x v="3"/>
    <s v="High"/>
    <n v="2026"/>
    <n v="2"/>
    <s v="February"/>
    <s v="OK"/>
    <s v="Unique"/>
    <s v="Ready"/>
    <s v="Karan - Theft"/>
  </r>
  <r>
    <s v="CRM00032"/>
    <d v="2025-08-28T00:00:00"/>
    <s v="Fraud"/>
    <s v="Wadajir"/>
    <s v="Male"/>
    <x v="0"/>
    <s v="Medium"/>
    <n v="2025"/>
    <n v="8"/>
    <s v="August"/>
    <s v="OK"/>
    <s v="Unique"/>
    <s v="Ready"/>
    <s v="Karan - Traffic Offense"/>
  </r>
  <r>
    <s v="CRM00031"/>
    <d v="2025-02-25T00:00:00"/>
    <s v="Fraud"/>
    <s v="Hodan"/>
    <s v="Unknown"/>
    <x v="0"/>
    <s v="Medium"/>
    <n v="2025"/>
    <n v="2"/>
    <s v="February"/>
    <s v="Needs Review"/>
    <s v="Unique"/>
    <s v="Review"/>
    <s v="Yaqshid - Traffic Offense"/>
  </r>
  <r>
    <s v="CRM00029"/>
    <d v="2025-08-10T00:00:00"/>
    <s v="Fraud"/>
    <s v="Yaqshid"/>
    <s v="Male"/>
    <x v="2"/>
    <s v="Medium"/>
    <n v="2025"/>
    <n v="8"/>
    <s v="August"/>
    <s v="OK"/>
    <s v="Unique"/>
    <s v="Ready"/>
    <s v="Wadajir - Fraud"/>
  </r>
  <r>
    <s v="CRM00028"/>
    <d v="2025-02-14T00:00:00"/>
    <s v="Fraud"/>
    <s v="Yaqshid"/>
    <s v="Male"/>
    <x v="3"/>
    <s v="Medium"/>
    <n v="2025"/>
    <n v="2"/>
    <s v="February"/>
    <s v="OK"/>
    <s v="Unique"/>
    <s v="Ready"/>
    <s v="Daynile - Traffic Offense"/>
  </r>
  <r>
    <s v="CRM00027"/>
    <d v="2025-03-17T00:00:00"/>
    <s v="Assault"/>
    <s v="Hodan"/>
    <s v="Male"/>
    <x v="3"/>
    <s v="High"/>
    <n v="2025"/>
    <n v="3"/>
    <s v="March"/>
    <s v="OK"/>
    <s v="Unique"/>
    <s v="Ready"/>
    <s v="Wadajir - Robbery"/>
  </r>
  <r>
    <s v="CRM00026"/>
    <d v="2025-05-05T00:00:00"/>
    <s v="Theft"/>
    <s v="Hodan"/>
    <s v="Male"/>
    <x v="1"/>
    <s v="Medium"/>
    <n v="2025"/>
    <n v="5"/>
    <s v="May"/>
    <s v="OK"/>
    <s v="Unique"/>
    <s v="Ready"/>
    <s v="Daynile - Assault"/>
  </r>
  <r>
    <s v="CRM00025"/>
    <d v="2025-04-27T00:00:00"/>
    <s v="Assault"/>
    <s v="Hodan"/>
    <s v="Male"/>
    <x v="1"/>
    <s v="High"/>
    <n v="2025"/>
    <n v="4"/>
    <s v="April"/>
    <s v="OK"/>
    <s v="Unique"/>
    <s v="Ready"/>
    <s v="Yaqshid - Assault"/>
  </r>
  <r>
    <s v="CRM00024"/>
    <d v="2026-01-30T00:00:00"/>
    <s v="Robbery"/>
    <s v="Waberi"/>
    <s v="Female"/>
    <x v="3"/>
    <s v="High"/>
    <n v="2026"/>
    <n v="1"/>
    <s v="January"/>
    <s v="OK"/>
    <s v="Unique"/>
    <s v="Ready"/>
    <s v="Yaqshid - Fraud"/>
  </r>
  <r>
    <s v="CRM00023"/>
    <d v="2025-02-23T00:00:00"/>
    <s v="Robbery"/>
    <s v="Wadajir"/>
    <s v="Male"/>
    <x v="1"/>
    <s v="High"/>
    <n v="2025"/>
    <n v="2"/>
    <s v="February"/>
    <s v="OK"/>
    <s v="Unique"/>
    <s v="Ready"/>
    <s v="Wadajir - Assault"/>
  </r>
  <r>
    <s v="CRM00022"/>
    <d v="2026-06-13T00:00:00"/>
    <s v="Traffic Offense"/>
    <s v="Waberi"/>
    <s v="Male"/>
    <x v="2"/>
    <s v="Low"/>
    <n v="2026"/>
    <n v="6"/>
    <s v="June"/>
    <s v="OK"/>
    <s v="Unique"/>
    <s v="Ready"/>
    <s v="Yaqshid - Fraud"/>
  </r>
  <r>
    <s v="CRM00021"/>
    <d v="2025-11-10T00:00:00"/>
    <s v="Traffic Offense"/>
    <s v="Daynile"/>
    <s v="Male"/>
    <x v="1"/>
    <s v="Low"/>
    <n v="2025"/>
    <n v="11"/>
    <s v="November"/>
    <s v="OK"/>
    <s v="Unique"/>
    <s v="Ready"/>
    <s v="Yaqshid - Burglary"/>
  </r>
  <r>
    <s v="CRM00020"/>
    <d v="2026-03-03T00:00:00"/>
    <s v="Assault"/>
    <s v="Hodan"/>
    <s v="Male"/>
    <x v="0"/>
    <s v="High"/>
    <n v="2026"/>
    <n v="3"/>
    <s v="March"/>
    <s v="OK"/>
    <s v="Unique"/>
    <s v="Ready"/>
    <s v="Waberi - Traffic Offense"/>
  </r>
  <r>
    <s v="CRM00019"/>
    <d v="2026-03-07T00:00:00"/>
    <s v="Fraud"/>
    <s v="Yaqshid"/>
    <s v="Male"/>
    <x v="2"/>
    <s v="Medium"/>
    <n v="2026"/>
    <n v="3"/>
    <s v="March"/>
    <s v="OK"/>
    <s v="Unique"/>
    <s v="Ready"/>
    <s v="Karan - Traffic Offense"/>
  </r>
  <r>
    <s v="CRM00018"/>
    <d v="2025-06-08T00:00:00"/>
    <s v="Robbery"/>
    <s v="Yaqshid"/>
    <s v="Male"/>
    <x v="3"/>
    <s v="High"/>
    <n v="2025"/>
    <n v="6"/>
    <s v="June"/>
    <s v="OK"/>
    <s v="Unique"/>
    <s v="Ready"/>
    <s v="Wadajir - Theft"/>
  </r>
  <r>
    <s v="CRM00017"/>
    <d v="2025-10-02T00:00:00"/>
    <s v="Theft"/>
    <s v="Waberi"/>
    <s v="Male"/>
    <x v="3"/>
    <s v="Medium"/>
    <n v="2025"/>
    <n v="10"/>
    <s v="October"/>
    <s v="OK"/>
    <s v="Unique"/>
    <s v="Ready"/>
    <s v="Wadajir - Robbery"/>
  </r>
  <r>
    <s v="CRM00016"/>
    <d v="2025-05-05T00:00:00"/>
    <s v="Robbery"/>
    <s v="Waberi"/>
    <s v="Male"/>
    <x v="3"/>
    <s v="High"/>
    <n v="2025"/>
    <n v="5"/>
    <s v="May"/>
    <s v="OK"/>
    <s v="Unique"/>
    <s v="Ready"/>
    <s v="Waberi - Traffic Offense"/>
  </r>
  <r>
    <s v="CRM00015"/>
    <d v="2025-07-20T00:00:00"/>
    <s v="Fraud"/>
    <s v="Yaqshid"/>
    <s v="Male"/>
    <x v="0"/>
    <s v="Medium"/>
    <n v="2025"/>
    <n v="7"/>
    <s v="July"/>
    <s v="OK"/>
    <s v="Unique"/>
    <s v="Ready"/>
    <s v="Yaqshid - Theft"/>
  </r>
  <r>
    <s v="CRM00014"/>
    <d v="2026-06-30T00:00:00"/>
    <s v="Assault"/>
    <s v="Yaqshid"/>
    <s v="Unknown"/>
    <x v="1"/>
    <s v="High"/>
    <n v="2026"/>
    <n v="6"/>
    <s v="June"/>
    <s v="Needs Review"/>
    <s v="Unique"/>
    <s v="Review"/>
    <s v="Wadajir - Robbery"/>
  </r>
  <r>
    <s v="CRM00013"/>
    <d v="2025-09-01T00:00:00"/>
    <s v="Theft"/>
    <s v="Daynile"/>
    <s v="Female"/>
    <x v="2"/>
    <s v="Medium"/>
    <n v="2025"/>
    <n v="9"/>
    <s v="September"/>
    <s v="OK"/>
    <s v="Unique"/>
    <s v="Ready"/>
    <s v="Hodan - Traffic Offense"/>
  </r>
  <r>
    <s v="CRM00012"/>
    <d v="2025-08-03T00:00:00"/>
    <s v="Fraud"/>
    <s v="Daynile"/>
    <s v="Female"/>
    <x v="0"/>
    <s v="Medium"/>
    <n v="2025"/>
    <n v="8"/>
    <s v="August"/>
    <s v="OK"/>
    <s v="Unique"/>
    <s v="Ready"/>
    <s v="Yaqshid - Fraud"/>
  </r>
  <r>
    <s v="CRM00011"/>
    <d v="2026-07-28T00:00:00"/>
    <s v="Robbery"/>
    <s v="Waberi"/>
    <s v="Unknown"/>
    <x v="0"/>
    <s v="High"/>
    <n v="2026"/>
    <n v="7"/>
    <s v="July"/>
    <s v="Needs Review"/>
    <s v="Unique"/>
    <s v="Review"/>
    <s v="Wadajir - Assault"/>
  </r>
  <r>
    <s v="CRM00010"/>
    <d v="2025-11-06T00:00:00"/>
    <s v="Assault"/>
    <s v="Hodan"/>
    <s v="Male"/>
    <x v="3"/>
    <s v="High"/>
    <n v="2025"/>
    <n v="11"/>
    <s v="November"/>
    <s v="OK"/>
    <s v="Unique"/>
    <s v="Ready"/>
    <s v="Hodan - Burglary"/>
  </r>
  <r>
    <s v="CRM00009"/>
    <d v="2026-07-25T00:00:00"/>
    <s v="Fraud"/>
    <s v="Hodan"/>
    <s v="Female"/>
    <x v="0"/>
    <s v="Medium"/>
    <n v="2026"/>
    <n v="7"/>
    <s v="July"/>
    <s v="OK"/>
    <s v="Unique"/>
    <s v="Ready"/>
    <s v="Yaqshid - Robbery"/>
  </r>
  <r>
    <s v="CRM00008"/>
    <d v="2025-04-07T00:00:00"/>
    <s v="Theft"/>
    <s v="Hodan"/>
    <s v="Unknown"/>
    <x v="3"/>
    <s v="Medium"/>
    <n v="2025"/>
    <n v="4"/>
    <s v="April"/>
    <s v="Needs Review"/>
    <s v="Unique"/>
    <s v="Review"/>
    <s v="Hodan - Theft"/>
  </r>
  <r>
    <s v="CRM00007"/>
    <d v="2025-07-18T00:00:00"/>
    <s v="Fraud"/>
    <s v="Yaqshid"/>
    <s v="Female"/>
    <x v="1"/>
    <s v="Medium"/>
    <n v="2025"/>
    <n v="7"/>
    <s v="July"/>
    <s v="OK"/>
    <s v="Unique"/>
    <s v="Ready"/>
    <s v="Daynile - Fraud"/>
  </r>
  <r>
    <s v="CRM00006"/>
    <d v="2025-11-27T00:00:00"/>
    <s v="Theft"/>
    <s v="Waberi"/>
    <s v="Female"/>
    <x v="0"/>
    <s v="Medium"/>
    <n v="2025"/>
    <n v="11"/>
    <s v="November"/>
    <s v="OK"/>
    <s v="Unique"/>
    <s v="Ready"/>
    <s v="Yaqshid - Fraud"/>
  </r>
  <r>
    <s v="CRM00005"/>
    <d v="2025-09-26T00:00:00"/>
    <s v="Assault"/>
    <s v="Hodan"/>
    <s v="Male"/>
    <x v="0"/>
    <s v="High"/>
    <n v="2025"/>
    <n v="9"/>
    <s v="September"/>
    <s v="OK"/>
    <s v="Unique"/>
    <s v="Ready"/>
    <s v="Hodan - Robbery"/>
  </r>
  <r>
    <s v="CRM00004"/>
    <d v="2026-07-07T00:00:00"/>
    <s v="Theft"/>
    <s v="Karan"/>
    <s v="Male"/>
    <x v="0"/>
    <s v="Medium"/>
    <n v="2026"/>
    <n v="7"/>
    <s v="July"/>
    <s v="OK"/>
    <s v="Unique"/>
    <s v="Ready"/>
    <s v="Hodan - Fraud"/>
  </r>
  <r>
    <s v="CRM00003"/>
    <d v="2025-05-20T00:00:00"/>
    <s v="Burglary"/>
    <s v="Waberi"/>
    <s v="Male"/>
    <x v="0"/>
    <s v="Medium"/>
    <n v="2025"/>
    <n v="5"/>
    <s v="May"/>
    <s v="OK"/>
    <s v="Unique"/>
    <s v="Ready"/>
    <s v="Hodan - Traffic Offense"/>
  </r>
  <r>
    <s v="CRM00002"/>
    <d v="2025-10-02T00:00:00"/>
    <s v="Assault"/>
    <s v="Wadajir"/>
    <s v="Female"/>
    <x v="0"/>
    <s v="High"/>
    <n v="2025"/>
    <n v="10"/>
    <s v="October"/>
    <s v="OK"/>
    <s v="Unique"/>
    <s v="Ready"/>
    <s v="Wadajir - Theft"/>
  </r>
  <r>
    <s v="CRM00001"/>
    <d v="2025-07-10T00:00:00"/>
    <s v="Fraud"/>
    <s v="Hodan"/>
    <s v="Male"/>
    <x v="3"/>
    <s v="Medium"/>
    <n v="2025"/>
    <n v="7"/>
    <s v="July"/>
    <s v="OK"/>
    <s v="Unique"/>
    <s v="Ready"/>
    <s v="Hodan - Theft"/>
  </r>
  <r>
    <m/>
    <m/>
    <s v="Traffic Offense"/>
    <s v="Hodan"/>
    <s v="Female"/>
    <x v="0"/>
    <s v="High"/>
    <s v=""/>
    <s v=""/>
    <s v=""/>
    <s v="Needs Review"/>
    <s v="Unique"/>
    <s v="Review"/>
    <s v="Hodan - Traffic Offense"/>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s v="CRM001"/>
    <d v="2026-07-12T00:00:00"/>
    <s v="Assault"/>
    <s v="Waberi"/>
    <s v="Male"/>
    <s v="Open"/>
    <x v="0"/>
    <n v="2026"/>
    <n v="7"/>
    <s v="July"/>
    <s v="OK"/>
    <s v="Unique"/>
    <s v="Ready"/>
    <s v="Hodan - Traffic Offense"/>
  </r>
  <r>
    <s v="CRM002"/>
    <d v="2025-06-14T00:00:00"/>
    <s v="Robbery"/>
    <s v="Hodan"/>
    <s v="Unknown"/>
    <s v="Closed"/>
    <x v="0"/>
    <n v="2025"/>
    <n v="6"/>
    <s v="June"/>
    <s v="Needs Review"/>
    <s v="Unique"/>
    <s v="Review"/>
    <s v="Karan - Assault"/>
  </r>
  <r>
    <s v="CRM003"/>
    <d v="2025-12-26T00:00:00"/>
    <s v="Robbery"/>
    <s v="Daynile"/>
    <s v="Male"/>
    <s v="Open"/>
    <x v="0"/>
    <n v="2025"/>
    <n v="12"/>
    <s v="December"/>
    <s v="OK"/>
    <s v="Unique"/>
    <s v="Ready"/>
    <s v="Hodan - Burglary"/>
  </r>
  <r>
    <s v="CRM004"/>
    <d v="2025-06-24T00:00:00"/>
    <s v="Assault"/>
    <s v="Yaqshid"/>
    <s v="Female"/>
    <s v="Referred"/>
    <x v="0"/>
    <n v="2025"/>
    <n v="6"/>
    <s v="June"/>
    <s v="OK"/>
    <s v="Unique"/>
    <s v="Ready"/>
    <s v="Hodan - Fraud"/>
  </r>
  <r>
    <s v="CRM005"/>
    <d v="2026-01-23T00:00:00"/>
    <s v="Assault"/>
    <s v="Daynile"/>
    <s v="Male"/>
    <s v="Under Investigation"/>
    <x v="0"/>
    <n v="2026"/>
    <n v="1"/>
    <s v="January"/>
    <s v="OK"/>
    <s v="Unique"/>
    <s v="Ready"/>
    <s v="Wadajir - Assault"/>
  </r>
  <r>
    <s v="CRM006"/>
    <d v="2026-01-17T00:00:00"/>
    <s v="Robbery"/>
    <s v="Daynile"/>
    <s v="Male"/>
    <s v="Closed"/>
    <x v="0"/>
    <n v="2026"/>
    <n v="1"/>
    <s v="January"/>
    <s v="OK"/>
    <s v="Unique"/>
    <s v="Ready"/>
    <s v="Hodan - Assault"/>
  </r>
  <r>
    <s v="CRM007"/>
    <d v="2026-05-17T00:00:00"/>
    <s v="Theft"/>
    <s v="Wadajir"/>
    <s v="Male"/>
    <s v="Under Investigation"/>
    <x v="1"/>
    <n v="2026"/>
    <n v="5"/>
    <s v="May"/>
    <s v="OK"/>
    <s v="Unique"/>
    <s v="Ready"/>
    <s v="Yaqshid - Theft"/>
  </r>
  <r>
    <s v="CRM008"/>
    <d v="2025-07-12T00:00:00"/>
    <s v="Traffic Offense"/>
    <s v="Daynile"/>
    <s v="Female"/>
    <s v="Closed"/>
    <x v="2"/>
    <n v="2025"/>
    <n v="7"/>
    <s v="July"/>
    <s v="OK"/>
    <s v="Unique"/>
    <s v="Ready"/>
    <s v="Yaqshid - Fraud"/>
  </r>
  <r>
    <s v="CRM009"/>
    <d v="2026-07-01T00:00:00"/>
    <s v="Theft"/>
    <s v="Wadajir"/>
    <s v="Male"/>
    <s v="Open"/>
    <x v="1"/>
    <n v="2026"/>
    <n v="7"/>
    <s v="July"/>
    <s v="OK"/>
    <s v="Unique"/>
    <s v="Ready"/>
    <s v="Waberi - Robbery"/>
  </r>
  <r>
    <s v="CRM010"/>
    <d v="2026-02-10T00:00:00"/>
    <s v="Robbery"/>
    <s v="Daynile"/>
    <s v="Female"/>
    <s v="Under Investigation"/>
    <x v="0"/>
    <n v="2026"/>
    <n v="2"/>
    <s v="February"/>
    <s v="OK"/>
    <s v="Unique"/>
    <s v="Ready"/>
    <s v="Hodan - Theft"/>
  </r>
  <r>
    <s v="CRM011"/>
    <d v="2025-04-01T00:00:00"/>
    <s v="Burglary"/>
    <s v="Waberi"/>
    <s v="Female"/>
    <s v="Under Investigation"/>
    <x v="1"/>
    <n v="2025"/>
    <n v="4"/>
    <s v="April"/>
    <s v="OK"/>
    <s v="Unique"/>
    <s v="Ready"/>
    <s v="Daynile - Traffic Offense"/>
  </r>
  <r>
    <s v="CRM012"/>
    <d v="2026-05-19T00:00:00"/>
    <s v="Traffic Offense"/>
    <s v="Hodan"/>
    <s v="Female"/>
    <s v="Open"/>
    <x v="2"/>
    <n v="2026"/>
    <n v="5"/>
    <s v="May"/>
    <s v="OK"/>
    <s v="Unique"/>
    <s v="Ready"/>
    <s v="Waberi - Robbery"/>
  </r>
  <r>
    <s v="CRM013"/>
    <d v="2026-01-28T00:00:00"/>
    <s v="Theft"/>
    <s v="Wadajir"/>
    <s v="Male"/>
    <s v="Closed"/>
    <x v="1"/>
    <n v="2026"/>
    <n v="1"/>
    <s v="January"/>
    <s v="OK"/>
    <s v="Unique"/>
    <s v="Ready"/>
    <s v="Hodan - Assault"/>
  </r>
  <r>
    <s v="CRM014"/>
    <d v="2025-10-21T00:00:00"/>
    <s v="Fraud"/>
    <s v="Karan"/>
    <s v="Male"/>
    <s v="Open"/>
    <x v="1"/>
    <n v="2025"/>
    <n v="10"/>
    <s v="October"/>
    <s v="OK"/>
    <s v="Unique"/>
    <s v="Ready"/>
    <s v="Daynile - Traffic Offense"/>
  </r>
  <r>
    <s v="CRM015"/>
    <d v="2025-12-01T00:00:00"/>
    <s v="Fraud"/>
    <s v="Yaqshid"/>
    <s v="Male"/>
    <s v="Closed"/>
    <x v="1"/>
    <n v="2025"/>
    <n v="12"/>
    <s v="December"/>
    <s v="OK"/>
    <s v="Unique"/>
    <s v="Ready"/>
    <s v="Yaqshid - Fraud"/>
  </r>
  <r>
    <s v="CRM00292"/>
    <d v="2025-09-12T00:00:00"/>
    <s v="Robbery"/>
    <s v="Wadajir"/>
    <s v="Male"/>
    <s v="Closed"/>
    <x v="0"/>
    <n v="2025"/>
    <n v="9"/>
    <s v="September"/>
    <s v="OK"/>
    <s v="Unique"/>
    <s v="Ready"/>
    <s v="Hodan - Assault"/>
  </r>
  <r>
    <s v="CRM00291"/>
    <d v="2026-06-03T00:00:00"/>
    <s v="Theft"/>
    <s v="Waberi"/>
    <s v="Male"/>
    <s v="Under Investigation"/>
    <x v="1"/>
    <n v="2026"/>
    <n v="6"/>
    <s v="June"/>
    <s v="OK"/>
    <s v="Unique"/>
    <s v="Ready"/>
    <s v="Yaqshid - Theft"/>
  </r>
  <r>
    <s v="CRM00290"/>
    <d v="2025-02-26T00:00:00"/>
    <s v="Burglary"/>
    <s v="Hodan"/>
    <s v="Male"/>
    <s v="Closed"/>
    <x v="1"/>
    <n v="2025"/>
    <n v="2"/>
    <s v="February"/>
    <s v="OK"/>
    <s v="Unique"/>
    <s v="Ready"/>
    <s v="Hodan - Robbery"/>
  </r>
  <r>
    <s v="CRM00289"/>
    <d v="2026-02-06T00:00:00"/>
    <s v="Fraud"/>
    <s v="Wadajir"/>
    <s v="Male"/>
    <s v="Open"/>
    <x v="1"/>
    <n v="2026"/>
    <n v="2"/>
    <s v="February"/>
    <s v="OK"/>
    <s v="Unique"/>
    <s v="Ready"/>
    <s v="Karan - Theft"/>
  </r>
  <r>
    <s v="CRM00288"/>
    <d v="2025-11-22T00:00:00"/>
    <s v="Fraud"/>
    <s v="Karan"/>
    <s v="Female"/>
    <s v="Closed"/>
    <x v="1"/>
    <n v="2025"/>
    <n v="11"/>
    <s v="November"/>
    <s v="OK"/>
    <s v="Unique"/>
    <s v="Ready"/>
    <s v="Wadajir - Burglary"/>
  </r>
  <r>
    <s v="CRM00287"/>
    <d v="2025-03-20T00:00:00"/>
    <s v="Robbery"/>
    <s v="Daynile"/>
    <s v="Female"/>
    <s v="Under Investigation"/>
    <x v="0"/>
    <n v="2025"/>
    <n v="3"/>
    <s v="March"/>
    <s v="OK"/>
    <s v="Unique"/>
    <s v="Ready"/>
    <s v="Karan - Theft"/>
  </r>
  <r>
    <s v="CRM00286"/>
    <d v="2025-01-23T00:00:00"/>
    <s v="Fraud"/>
    <s v="Wadajir"/>
    <s v="Unknown"/>
    <s v="Closed"/>
    <x v="1"/>
    <n v="2025"/>
    <n v="1"/>
    <s v="January"/>
    <s v="Needs Review"/>
    <s v="Unique"/>
    <s v="Review"/>
    <s v="Karan - Theft"/>
  </r>
  <r>
    <s v="CRM00285"/>
    <d v="2025-08-13T00:00:00"/>
    <s v="Assault"/>
    <s v="Daynile"/>
    <s v="Unknown"/>
    <s v="Closed"/>
    <x v="0"/>
    <n v="2025"/>
    <n v="8"/>
    <s v="August"/>
    <s v="Needs Review"/>
    <s v="Unique"/>
    <s v="Review"/>
    <s v="Yaqshid - Theft"/>
  </r>
  <r>
    <s v="CRM00284"/>
    <d v="2025-10-03T00:00:00"/>
    <s v="Robbery"/>
    <s v="Yaqshid"/>
    <s v="Unknown"/>
    <s v="Under Investigation"/>
    <x v="0"/>
    <n v="2025"/>
    <n v="10"/>
    <s v="October"/>
    <s v="Needs Review"/>
    <s v="Unique"/>
    <s v="Review"/>
    <s v="Waberi - Assault"/>
  </r>
  <r>
    <s v="CRM00283"/>
    <d v="2025-10-15T00:00:00"/>
    <s v="Traffic Offense"/>
    <s v="Daynile"/>
    <s v="Male"/>
    <s v="Closed"/>
    <x v="2"/>
    <n v="2025"/>
    <n v="10"/>
    <s v="October"/>
    <s v="OK"/>
    <s v="Unique"/>
    <s v="Ready"/>
    <s v="Yaqshid - Theft"/>
  </r>
  <r>
    <s v="CRM00282"/>
    <d v="2025-06-17T00:00:00"/>
    <s v="Assault"/>
    <s v="Hodan"/>
    <s v="Male"/>
    <s v="Open"/>
    <x v="0"/>
    <n v="2025"/>
    <n v="6"/>
    <s v="June"/>
    <s v="OK"/>
    <s v="Unique"/>
    <s v="Ready"/>
    <s v="Daynile - Assault"/>
  </r>
  <r>
    <s v="CRM00281"/>
    <d v="2025-09-15T00:00:00"/>
    <s v="Burglary"/>
    <s v="Yaqshid"/>
    <s v="Male"/>
    <s v="Under Investigation"/>
    <x v="1"/>
    <n v="2025"/>
    <n v="9"/>
    <s v="September"/>
    <s v="OK"/>
    <s v="Unique"/>
    <s v="Ready"/>
    <s v="Waberi - Assault"/>
  </r>
  <r>
    <s v="CRM00280"/>
    <d v="2025-07-06T00:00:00"/>
    <s v="Theft"/>
    <s v="Wadajir"/>
    <s v="Female"/>
    <s v="Closed"/>
    <x v="1"/>
    <n v="2025"/>
    <n v="7"/>
    <s v="July"/>
    <s v="OK"/>
    <s v="Unique"/>
    <s v="Ready"/>
    <s v="Daynile - Theft"/>
  </r>
  <r>
    <s v="CRM00279"/>
    <d v="2025-12-14T00:00:00"/>
    <s v="Burglary"/>
    <s v="Karan"/>
    <s v="Male"/>
    <s v="Under Investigation"/>
    <x v="1"/>
    <n v="2025"/>
    <n v="12"/>
    <s v="December"/>
    <s v="OK"/>
    <s v="Unique"/>
    <s v="Ready"/>
    <s v="Hodan - Theft"/>
  </r>
  <r>
    <s v="CRM00278"/>
    <d v="2026-07-12T00:00:00"/>
    <s v="Robbery"/>
    <s v="Daynile"/>
    <s v="Male"/>
    <s v="Closed"/>
    <x v="0"/>
    <n v="2026"/>
    <n v="7"/>
    <s v="July"/>
    <s v="OK"/>
    <s v="Unique"/>
    <s v="Ready"/>
    <s v="Hodan - Assault"/>
  </r>
  <r>
    <s v="CRM00277"/>
    <d v="2026-07-12T00:00:00"/>
    <s v="Theft"/>
    <s v="Yaqshid"/>
    <s v="Male"/>
    <s v="Closed"/>
    <x v="1"/>
    <n v="2026"/>
    <n v="7"/>
    <s v="July"/>
    <s v="OK"/>
    <s v="Unique"/>
    <s v="Ready"/>
    <s v="Waberi - Robbery"/>
  </r>
  <r>
    <s v="CRM00276"/>
    <d v="2026-01-15T00:00:00"/>
    <s v="Theft"/>
    <s v="Hodan"/>
    <s v="Male"/>
    <s v="Under Investigation"/>
    <x v="1"/>
    <n v="2026"/>
    <n v="1"/>
    <s v="January"/>
    <s v="OK"/>
    <s v="Unique"/>
    <s v="Ready"/>
    <s v="Karan - Robbery"/>
  </r>
  <r>
    <s v="CRM00275"/>
    <d v="2026-05-20T00:00:00"/>
    <s v="Theft"/>
    <s v="Daynile"/>
    <s v="Male"/>
    <s v="Closed"/>
    <x v="1"/>
    <n v="2026"/>
    <n v="5"/>
    <s v="May"/>
    <s v="OK"/>
    <s v="Unique"/>
    <s v="Ready"/>
    <s v="Daynile - Theft"/>
  </r>
  <r>
    <s v="CRM00274"/>
    <d v="2025-08-08T00:00:00"/>
    <s v="Theft"/>
    <s v="Hodan"/>
    <s v="Male"/>
    <s v="Closed"/>
    <x v="1"/>
    <n v="2025"/>
    <n v="8"/>
    <s v="August"/>
    <s v="OK"/>
    <s v="Unique"/>
    <s v="Ready"/>
    <s v="Wadajir - Assault"/>
  </r>
  <r>
    <s v="CRM00273"/>
    <d v="2025-09-15T00:00:00"/>
    <s v="Theft"/>
    <s v="Karan"/>
    <s v="Male"/>
    <s v="Open"/>
    <x v="1"/>
    <n v="2025"/>
    <n v="9"/>
    <s v="September"/>
    <s v="OK"/>
    <s v="Unique"/>
    <s v="Ready"/>
    <s v="Karan - Assault"/>
  </r>
  <r>
    <s v="CRM00272"/>
    <d v="2026-04-08T00:00:00"/>
    <s v="Assault"/>
    <s v="Hodan"/>
    <s v="Unknown"/>
    <s v="Closed"/>
    <x v="2"/>
    <n v="2026"/>
    <n v="4"/>
    <s v="April"/>
    <s v="Needs Review"/>
    <s v="Unique"/>
    <s v="Review"/>
    <s v="Karan - Theft"/>
  </r>
  <r>
    <s v="CRM00271"/>
    <d v="2026-07-12T00:00:00"/>
    <s v="Assault"/>
    <s v="Karan"/>
    <s v="Male"/>
    <s v="Closed"/>
    <x v="0"/>
    <n v="2026"/>
    <n v="7"/>
    <s v="July"/>
    <s v="OK"/>
    <s v="Unique"/>
    <s v="Ready"/>
    <s v="Hodan - Assault"/>
  </r>
  <r>
    <s v="CRM00270"/>
    <d v="2026-02-05T00:00:00"/>
    <s v="Theft"/>
    <s v="Wadajir"/>
    <s v="Female"/>
    <s v="Closed"/>
    <x v="1"/>
    <n v="2026"/>
    <n v="2"/>
    <s v="February"/>
    <s v="OK"/>
    <s v="Unique"/>
    <s v="Ready"/>
    <s v="Hodan - Assault"/>
  </r>
  <r>
    <s v="CRM00269"/>
    <d v="2025-10-20T00:00:00"/>
    <s v="Robbery"/>
    <s v="Wadajir"/>
    <s v="Male"/>
    <s v="Closed"/>
    <x v="0"/>
    <n v="2025"/>
    <n v="10"/>
    <s v="October"/>
    <s v="OK"/>
    <s v="Unique"/>
    <s v="Ready"/>
    <s v="Waberi - Theft"/>
  </r>
  <r>
    <s v="CRM00268"/>
    <d v="2026-01-21T00:00:00"/>
    <s v="Assault"/>
    <s v="Karan"/>
    <s v="Male"/>
    <s v="Referred"/>
    <x v="0"/>
    <n v="2026"/>
    <n v="1"/>
    <s v="January"/>
    <s v="OK"/>
    <s v="Unique"/>
    <s v="Ready"/>
    <s v="Hodan - Theft"/>
  </r>
  <r>
    <s v="CRM00267"/>
    <d v="2026-07-12T00:00:00"/>
    <s v="Assault"/>
    <s v="Hodan"/>
    <s v="Unknown"/>
    <s v="Under Investigation"/>
    <x v="0"/>
    <n v="2026"/>
    <n v="7"/>
    <s v="July"/>
    <s v="Needs Review"/>
    <s v="Unique"/>
    <s v="Review"/>
    <s v="Wadajir - Theft"/>
  </r>
  <r>
    <s v="CRM00266"/>
    <d v="2025-05-04T00:00:00"/>
    <s v="Fraud"/>
    <s v="Hodan"/>
    <s v="Male"/>
    <s v="Closed"/>
    <x v="1"/>
    <n v="2025"/>
    <n v="5"/>
    <s v="May"/>
    <s v="OK"/>
    <s v="Unique"/>
    <s v="Ready"/>
    <s v="Hodan - Assault"/>
  </r>
  <r>
    <s v="CRM00265"/>
    <d v="2025-02-17T00:00:00"/>
    <s v="Fraud"/>
    <s v="Wadajir"/>
    <s v="Male"/>
    <s v="Under Investigation"/>
    <x v="1"/>
    <n v="2025"/>
    <n v="2"/>
    <s v="February"/>
    <s v="OK"/>
    <s v="Unique"/>
    <s v="Ready"/>
    <s v="Daynile - Robbery"/>
  </r>
  <r>
    <s v="CRM00264"/>
    <d v="2025-04-28T00:00:00"/>
    <s v="Burglary"/>
    <s v="Hodan"/>
    <s v="Male"/>
    <s v="Closed"/>
    <x v="1"/>
    <n v="2025"/>
    <n v="4"/>
    <s v="April"/>
    <s v="OK"/>
    <s v="Unique"/>
    <s v="Ready"/>
    <s v="Karan - Burglary"/>
  </r>
  <r>
    <s v="CRM00263"/>
    <d v="2025-01-07T00:00:00"/>
    <s v="Burglary"/>
    <s v="Hodan"/>
    <s v="Female"/>
    <s v="Open"/>
    <x v="1"/>
    <n v="2025"/>
    <n v="1"/>
    <s v="January"/>
    <s v="OK"/>
    <s v="Unique"/>
    <s v="Ready"/>
    <s v="Karan - Traffic Offense"/>
  </r>
  <r>
    <s v="CRM00262"/>
    <d v="2026-01-20T00:00:00"/>
    <s v="Assault"/>
    <s v="Wadajir"/>
    <s v="Female"/>
    <s v="Closed"/>
    <x v="1"/>
    <n v="2026"/>
    <n v="1"/>
    <s v="January"/>
    <s v="OK"/>
    <s v="Unique"/>
    <s v="Ready"/>
    <s v="Hodan - Burglary"/>
  </r>
  <r>
    <s v="CRM00261"/>
    <d v="2025-02-27T00:00:00"/>
    <s v="Theft"/>
    <s v="Yaqshid"/>
    <s v="Male"/>
    <s v="Referred"/>
    <x v="1"/>
    <n v="2025"/>
    <n v="2"/>
    <s v="February"/>
    <s v="OK"/>
    <s v="Unique"/>
    <s v="Ready"/>
    <s v="Hodan - Fraud"/>
  </r>
  <r>
    <s v="CRM00260"/>
    <d v="2025-08-02T00:00:00"/>
    <s v="Theft"/>
    <s v="Waberi"/>
    <s v="Male"/>
    <s v="Open"/>
    <x v="1"/>
    <n v="2025"/>
    <n v="8"/>
    <s v="August"/>
    <s v="OK"/>
    <s v="Unique"/>
    <s v="Ready"/>
    <s v="Karan - Robbery"/>
  </r>
  <r>
    <s v="CRM00259"/>
    <d v="2026-06-05T00:00:00"/>
    <s v="Robbery"/>
    <s v="Karan"/>
    <s v="Male"/>
    <s v="Under Investigation"/>
    <x v="0"/>
    <n v="2026"/>
    <n v="6"/>
    <s v="June"/>
    <s v="OK"/>
    <s v="Unique"/>
    <s v="Ready"/>
    <s v="Daynile - Theft"/>
  </r>
  <r>
    <s v="CRM00258"/>
    <d v="2026-07-12T00:00:00"/>
    <s v="Assault"/>
    <s v="Wadajir"/>
    <s v="Male"/>
    <s v="Closed"/>
    <x v="0"/>
    <n v="2026"/>
    <n v="7"/>
    <s v="July"/>
    <s v="OK"/>
    <s v="Unique"/>
    <s v="Ready"/>
    <s v="Hodan - Assault"/>
  </r>
  <r>
    <s v="CRM00257"/>
    <d v="2026-05-07T00:00:00"/>
    <s v="Theft"/>
    <s v="Wadajir"/>
    <s v="Male"/>
    <s v="Under Investigation"/>
    <x v="1"/>
    <n v="2026"/>
    <n v="5"/>
    <s v="May"/>
    <s v="OK"/>
    <s v="Unique"/>
    <s v="Ready"/>
    <s v="Karan - Theft"/>
  </r>
  <r>
    <s v="CRM00256"/>
    <d v="2026-07-12T00:00:00"/>
    <s v="Theft"/>
    <s v="Waberi"/>
    <s v="Male"/>
    <s v="Open"/>
    <x v="1"/>
    <n v="2026"/>
    <n v="7"/>
    <s v="July"/>
    <s v="OK"/>
    <s v="Unique"/>
    <s v="Ready"/>
    <s v="Daynile - Fraud"/>
  </r>
  <r>
    <s v="CRM00255"/>
    <d v="2026-02-03T00:00:00"/>
    <s v="Fraud"/>
    <s v="Wadajir"/>
    <s v="Male"/>
    <s v="Open"/>
    <x v="1"/>
    <n v="2026"/>
    <n v="2"/>
    <s v="February"/>
    <s v="OK"/>
    <s v="Unique"/>
    <s v="Ready"/>
    <s v="Yaqshid - Traffic Offense"/>
  </r>
  <r>
    <s v="CRM00254"/>
    <d v="2026-07-12T00:00:00"/>
    <s v="Theft"/>
    <s v="Karan"/>
    <s v="Male"/>
    <s v="Open"/>
    <x v="0"/>
    <n v="2026"/>
    <n v="7"/>
    <s v="July"/>
    <s v="OK"/>
    <s v="Unique"/>
    <s v="Ready"/>
    <s v="Wadajir - Robbery"/>
  </r>
  <r>
    <s v="CRM00253"/>
    <d v="2026-01-13T00:00:00"/>
    <s v="Fraud"/>
    <s v="Hodan"/>
    <s v="Female"/>
    <s v="Closed"/>
    <x v="1"/>
    <n v="2026"/>
    <n v="1"/>
    <s v="January"/>
    <s v="OK"/>
    <s v="Unique"/>
    <s v="Ready"/>
    <s v="Wadajir - Robbery"/>
  </r>
  <r>
    <s v="CRM00252"/>
    <d v="2026-04-24T00:00:00"/>
    <s v="Assault"/>
    <s v="Hodan"/>
    <s v="Unknown"/>
    <s v="Closed"/>
    <x v="0"/>
    <n v="2026"/>
    <n v="4"/>
    <s v="April"/>
    <s v="Needs Review"/>
    <s v="Unique"/>
    <s v="Review"/>
    <s v="Karan - Burglary"/>
  </r>
  <r>
    <s v="CRM00251"/>
    <d v="2026-02-15T00:00:00"/>
    <s v="Robbery"/>
    <s v="Hodan"/>
    <s v="Female"/>
    <s v="Closed"/>
    <x v="0"/>
    <n v="2026"/>
    <n v="2"/>
    <s v="February"/>
    <s v="OK"/>
    <s v="Unique"/>
    <s v="Ready"/>
    <s v="Daynile - Robbery"/>
  </r>
  <r>
    <s v="CRM00250"/>
    <d v="2025-01-22T00:00:00"/>
    <s v="Traffic Offense"/>
    <s v="Hodan"/>
    <s v="Female"/>
    <s v="Closed"/>
    <x v="2"/>
    <n v="2025"/>
    <n v="1"/>
    <s v="January"/>
    <s v="OK"/>
    <s v="Unique"/>
    <s v="Ready"/>
    <s v="Daynile - Assault"/>
  </r>
  <r>
    <s v="CRM00249"/>
    <d v="2026-01-28T00:00:00"/>
    <s v="Assault"/>
    <s v="Daynile"/>
    <s v="Male"/>
    <s v="Under Investigation"/>
    <x v="0"/>
    <n v="2026"/>
    <n v="1"/>
    <s v="January"/>
    <s v="OK"/>
    <s v="Unique"/>
    <s v="Ready"/>
    <s v="Hodan - Theft"/>
  </r>
  <r>
    <s v="CRM00248"/>
    <d v="2025-07-22T00:00:00"/>
    <s v="Burglary"/>
    <s v="Wadajir"/>
    <s v="Female"/>
    <s v="Under Investigation"/>
    <x v="1"/>
    <n v="2025"/>
    <n v="7"/>
    <s v="July"/>
    <s v="OK"/>
    <s v="Unique"/>
    <s v="Ready"/>
    <s v="Waberi - Traffic Offense"/>
  </r>
  <r>
    <s v="CRM00247"/>
    <d v="2025-04-17T00:00:00"/>
    <s v="Robbery"/>
    <s v="Yaqshid"/>
    <s v="Male"/>
    <s v="Closed"/>
    <x v="0"/>
    <n v="2025"/>
    <n v="4"/>
    <s v="April"/>
    <s v="OK"/>
    <s v="Unique"/>
    <s v="Ready"/>
    <s v="Wadajir - Burglary"/>
  </r>
  <r>
    <s v="CRM00246"/>
    <d v="2025-04-25T00:00:00"/>
    <s v="Theft"/>
    <s v="Wadajir"/>
    <s v="Male"/>
    <s v="Closed"/>
    <x v="1"/>
    <n v="2025"/>
    <n v="4"/>
    <s v="April"/>
    <s v="OK"/>
    <s v="Unique"/>
    <s v="Ready"/>
    <s v="Hodan - Fraud"/>
  </r>
  <r>
    <s v="CRM00245"/>
    <d v="2026-06-05T00:00:00"/>
    <s v="Theft"/>
    <s v="Daynile"/>
    <s v="Male"/>
    <s v="Open"/>
    <x v="1"/>
    <n v="2026"/>
    <n v="6"/>
    <s v="June"/>
    <s v="OK"/>
    <s v="Unique"/>
    <s v="Ready"/>
    <s v="Karan - Fraud"/>
  </r>
  <r>
    <s v="CRM00244"/>
    <d v="2026-02-27T00:00:00"/>
    <s v="Assault"/>
    <s v="Hodan"/>
    <s v="Female"/>
    <s v="Under Investigation"/>
    <x v="0"/>
    <n v="2026"/>
    <n v="2"/>
    <s v="February"/>
    <s v="OK"/>
    <s v="Unique"/>
    <s v="Ready"/>
    <s v="Daynile - Assault"/>
  </r>
  <r>
    <s v="CRM00243"/>
    <d v="2025-03-03T00:00:00"/>
    <s v="Traffic Offense"/>
    <s v="Hodan"/>
    <s v="Female"/>
    <s v="Under Investigation"/>
    <x v="0"/>
    <n v="2025"/>
    <n v="3"/>
    <s v="March"/>
    <s v="OK"/>
    <s v="Unique"/>
    <s v="Ready"/>
    <s v="Wadajir - Theft"/>
  </r>
  <r>
    <s v="CRM00242"/>
    <d v="2026-05-02T00:00:00"/>
    <s v="Robbery"/>
    <s v="Karan"/>
    <s v="Female"/>
    <s v="Closed"/>
    <x v="0"/>
    <n v="2026"/>
    <n v="5"/>
    <s v="May"/>
    <s v="OK"/>
    <s v="Unique"/>
    <s v="Ready"/>
    <s v="Daynile - Fraud"/>
  </r>
  <r>
    <s v="CRM00241"/>
    <d v="2026-03-11T00:00:00"/>
    <s v="Theft"/>
    <s v="Wadajir"/>
    <s v="Female"/>
    <s v="Closed"/>
    <x v="1"/>
    <n v="2026"/>
    <n v="3"/>
    <s v="March"/>
    <s v="OK"/>
    <s v="Unique"/>
    <s v="Ready"/>
    <s v="Hodan - Assault"/>
  </r>
  <r>
    <s v="CRM00240"/>
    <d v="2025-04-14T00:00:00"/>
    <s v="Traffic Offense"/>
    <s v="Waberi"/>
    <s v="Male"/>
    <s v="Open"/>
    <x v="2"/>
    <n v="2025"/>
    <n v="4"/>
    <s v="April"/>
    <s v="OK"/>
    <s v="Unique"/>
    <s v="Ready"/>
    <s v="Hodan - Assault"/>
  </r>
  <r>
    <s v="CRM00239"/>
    <d v="2025-10-14T00:00:00"/>
    <s v="Assault"/>
    <s v="Wadajir"/>
    <s v="Male"/>
    <s v="Closed"/>
    <x v="0"/>
    <n v="2025"/>
    <n v="10"/>
    <s v="October"/>
    <s v="OK"/>
    <s v="Unique"/>
    <s v="Ready"/>
    <s v="Karan - Burglary"/>
  </r>
  <r>
    <s v="CRM00238"/>
    <d v="2025-03-27T00:00:00"/>
    <s v="Assault"/>
    <s v="Yaqshid"/>
    <s v="Male"/>
    <s v="Closed"/>
    <x v="0"/>
    <n v="2025"/>
    <n v="3"/>
    <s v="March"/>
    <s v="OK"/>
    <s v="Unique"/>
    <s v="Ready"/>
    <s v="Hodan - Assault"/>
  </r>
  <r>
    <s v="CRM00237"/>
    <d v="2026-02-02T00:00:00"/>
    <s v="Assault"/>
    <s v="Hodan"/>
    <s v="Male"/>
    <s v="Closed"/>
    <x v="0"/>
    <n v="2026"/>
    <n v="2"/>
    <s v="February"/>
    <s v="OK"/>
    <s v="Unique"/>
    <s v="Ready"/>
    <s v="Hodan - Assault"/>
  </r>
  <r>
    <s v="CRM00236"/>
    <d v="2025-03-15T00:00:00"/>
    <s v="Fraud"/>
    <s v="Hodan"/>
    <s v="Male"/>
    <s v="Closed"/>
    <x v="1"/>
    <n v="2025"/>
    <n v="3"/>
    <s v="March"/>
    <s v="OK"/>
    <s v="Unique"/>
    <s v="Ready"/>
    <s v="Daynile - Fraud"/>
  </r>
  <r>
    <s v="CRM00235"/>
    <d v="2025-02-24T00:00:00"/>
    <s v="Theft"/>
    <s v="Hodan"/>
    <s v="Male"/>
    <s v="Referred"/>
    <x v="1"/>
    <n v="2025"/>
    <n v="2"/>
    <s v="February"/>
    <s v="OK"/>
    <s v="Unique"/>
    <s v="Ready"/>
    <s v="Wadajir - Fraud"/>
  </r>
  <r>
    <s v="CRM00234"/>
    <d v="2026-07-12T00:00:00"/>
    <s v="Traffic Offense"/>
    <s v="Daynile"/>
    <s v="Unknown"/>
    <s v="Closed"/>
    <x v="2"/>
    <n v="2026"/>
    <n v="7"/>
    <s v="July"/>
    <s v="Needs Review"/>
    <s v="Unique"/>
    <s v="Review"/>
    <s v="Daynile - Robbery"/>
  </r>
  <r>
    <s v="CRM00233"/>
    <d v="2025-08-31T00:00:00"/>
    <s v="Assault"/>
    <s v="Daynile"/>
    <s v="Male"/>
    <s v="Closed"/>
    <x v="0"/>
    <n v="2025"/>
    <n v="8"/>
    <s v="August"/>
    <s v="OK"/>
    <s v="Unique"/>
    <s v="Ready"/>
    <s v="Daynile - Robbery"/>
  </r>
  <r>
    <s v="CRM00232"/>
    <d v="2026-02-21T00:00:00"/>
    <s v="Fraud"/>
    <s v="Wadajir"/>
    <s v="Male"/>
    <s v="Closed"/>
    <x v="1"/>
    <n v="2026"/>
    <n v="2"/>
    <s v="February"/>
    <s v="OK"/>
    <s v="Unique"/>
    <s v="Ready"/>
    <s v="Daynile - Theft"/>
  </r>
  <r>
    <s v="CRM00231"/>
    <d v="2025-06-26T00:00:00"/>
    <s v="Theft"/>
    <s v="Waberi"/>
    <s v="Unknown"/>
    <s v="Under Investigation"/>
    <x v="1"/>
    <n v="2025"/>
    <n v="6"/>
    <s v="June"/>
    <s v="Needs Review"/>
    <s v="Unique"/>
    <s v="Review"/>
    <s v="Waberi - Traffic Offense"/>
  </r>
  <r>
    <s v="CRM00230"/>
    <d v="2025-08-13T00:00:00"/>
    <s v="Assault"/>
    <s v="Waberi"/>
    <s v="Female"/>
    <s v="Under Investigation"/>
    <x v="0"/>
    <n v="2025"/>
    <n v="8"/>
    <s v="August"/>
    <s v="OK"/>
    <s v="Unique"/>
    <s v="Ready"/>
    <s v="Waberi - Robbery"/>
  </r>
  <r>
    <s v="CRM00229"/>
    <d v="2026-05-25T00:00:00"/>
    <s v="Fraud"/>
    <s v="Wadajir"/>
    <s v="Female"/>
    <s v="Open"/>
    <x v="1"/>
    <n v="2026"/>
    <n v="5"/>
    <s v="May"/>
    <s v="OK"/>
    <s v="Unique"/>
    <s v="Ready"/>
    <s v="Daynile - Fraud"/>
  </r>
  <r>
    <s v="CRM00228"/>
    <d v="2026-03-27T00:00:00"/>
    <s v="Fraud"/>
    <s v="Waberi"/>
    <s v="Unknown"/>
    <s v="Under Investigation"/>
    <x v="1"/>
    <n v="2026"/>
    <n v="3"/>
    <s v="March"/>
    <s v="Needs Review"/>
    <s v="Unique"/>
    <s v="Review"/>
    <s v="Hodan - Theft"/>
  </r>
  <r>
    <s v="CRM00227"/>
    <d v="2025-11-03T00:00:00"/>
    <s v="Traffic Offense"/>
    <s v="Wadajir"/>
    <s v="Male"/>
    <s v="Closed"/>
    <x v="2"/>
    <n v="2025"/>
    <n v="11"/>
    <s v="November"/>
    <s v="OK"/>
    <s v="Unique"/>
    <s v="Ready"/>
    <s v="Wadajir - Fraud"/>
  </r>
  <r>
    <s v="CRM00226"/>
    <d v="2025-03-20T00:00:00"/>
    <s v="Assault"/>
    <s v="Daynile"/>
    <s v="Male"/>
    <s v="Closed"/>
    <x v="0"/>
    <n v="2025"/>
    <n v="3"/>
    <s v="March"/>
    <s v="OK"/>
    <s v="Unique"/>
    <s v="Ready"/>
    <s v="Wadajir - Theft"/>
  </r>
  <r>
    <s v="CRM00225"/>
    <d v="2026-07-22T00:00:00"/>
    <s v="Fraud"/>
    <s v="Wadajir"/>
    <s v="Female"/>
    <s v="Under Investigation"/>
    <x v="1"/>
    <n v="2026"/>
    <n v="7"/>
    <s v="July"/>
    <s v="OK"/>
    <s v="Unique"/>
    <s v="Ready"/>
    <s v="Hodan - Assault"/>
  </r>
  <r>
    <s v="CRM00224"/>
    <d v="2026-05-05T00:00:00"/>
    <s v="Theft"/>
    <s v="Wadajir"/>
    <s v="Female"/>
    <s v="Open"/>
    <x v="1"/>
    <n v="2026"/>
    <n v="5"/>
    <s v="May"/>
    <s v="OK"/>
    <s v="Unique"/>
    <s v="Ready"/>
    <s v="Daynile - Fraud"/>
  </r>
  <r>
    <s v="CRM00223"/>
    <d v="2026-07-12T00:00:00"/>
    <s v="Theft"/>
    <s v="Hodan"/>
    <s v="Male"/>
    <s v="Closed"/>
    <x v="1"/>
    <n v="2026"/>
    <n v="7"/>
    <s v="July"/>
    <s v="OK"/>
    <s v="Unique"/>
    <s v="Ready"/>
    <s v="Wadajir - Fraud"/>
  </r>
  <r>
    <s v="CRM00222"/>
    <d v="2025-01-10T00:00:00"/>
    <s v="Theft"/>
    <s v="Daynile"/>
    <s v="Male"/>
    <s v="Closed"/>
    <x v="1"/>
    <n v="2025"/>
    <n v="1"/>
    <s v="January"/>
    <s v="OK"/>
    <s v="Unique"/>
    <s v="Ready"/>
    <s v="Wadajir - Theft"/>
  </r>
  <r>
    <s v="CRM00221"/>
    <d v="2025-12-28T00:00:00"/>
    <s v="Fraud"/>
    <s v="Yaqshid"/>
    <s v="Unknown"/>
    <s v="Under Investigation"/>
    <x v="1"/>
    <n v="2025"/>
    <n v="12"/>
    <s v="December"/>
    <s v="Needs Review"/>
    <s v="Unique"/>
    <s v="Review"/>
    <s v="Karan - Theft"/>
  </r>
  <r>
    <s v="CRM00220"/>
    <d v="2026-02-07T00:00:00"/>
    <s v="Assault"/>
    <s v="Hodan"/>
    <s v="Male"/>
    <s v="Open"/>
    <x v="0"/>
    <n v="2026"/>
    <n v="2"/>
    <s v="February"/>
    <s v="OK"/>
    <s v="Unique"/>
    <s v="Ready"/>
    <s v="Yaqshid - Robbery"/>
  </r>
  <r>
    <s v="CRM00219"/>
    <d v="2026-02-20T00:00:00"/>
    <s v="Fraud"/>
    <s v="Yaqshid"/>
    <s v="Female"/>
    <s v="Closed"/>
    <x v="1"/>
    <n v="2026"/>
    <n v="2"/>
    <s v="February"/>
    <s v="OK"/>
    <s v="Unique"/>
    <s v="Ready"/>
    <s v="Hodan - Assault"/>
  </r>
  <r>
    <s v="CRM00218"/>
    <d v="2025-09-02T00:00:00"/>
    <s v="Theft"/>
    <s v="Hodan"/>
    <s v="Male"/>
    <s v="Closed"/>
    <x v="1"/>
    <n v="2025"/>
    <n v="9"/>
    <s v="September"/>
    <s v="OK"/>
    <s v="Unique"/>
    <s v="Ready"/>
    <s v="Yaqshid - Fraud"/>
  </r>
  <r>
    <s v="CRM00217"/>
    <d v="2025-02-09T00:00:00"/>
    <s v="Assault"/>
    <s v="Hodan"/>
    <s v="Male"/>
    <s v="Closed"/>
    <x v="0"/>
    <n v="2025"/>
    <n v="2"/>
    <s v="February"/>
    <s v="OK"/>
    <s v="Unique"/>
    <s v="Ready"/>
    <s v="Yaqshid - Fraud"/>
  </r>
  <r>
    <s v="CRM00216"/>
    <d v="2026-05-25T00:00:00"/>
    <s v="Assault"/>
    <s v="Karan"/>
    <s v="Male"/>
    <s v="Closed"/>
    <x v="0"/>
    <n v="2026"/>
    <n v="5"/>
    <s v="May"/>
    <s v="OK"/>
    <s v="Unique"/>
    <s v="Ready"/>
    <s v="Yaqshid - Robbery"/>
  </r>
  <r>
    <s v="CRM00215"/>
    <d v="2025-07-15T00:00:00"/>
    <s v="Fraud"/>
    <s v="Daynile"/>
    <s v="Female"/>
    <s v="Under Investigation"/>
    <x v="1"/>
    <n v="2025"/>
    <n v="7"/>
    <s v="July"/>
    <s v="OK"/>
    <s v="Unique"/>
    <s v="Ready"/>
    <s v="Hodan - Theft"/>
  </r>
  <r>
    <s v="CRM00214"/>
    <d v="2025-07-31T00:00:00"/>
    <s v="Assault"/>
    <s v="Daynile"/>
    <s v="Male"/>
    <s v="Open"/>
    <x v="0"/>
    <n v="2025"/>
    <n v="7"/>
    <s v="July"/>
    <s v="OK"/>
    <s v="Unique"/>
    <s v="Ready"/>
    <s v="Waberi - Theft"/>
  </r>
  <r>
    <s v="CRM00213"/>
    <d v="2026-07-12T00:00:00"/>
    <s v="Assault"/>
    <s v="Wadajir"/>
    <s v="Male"/>
    <s v="Open"/>
    <x v="0"/>
    <n v="2026"/>
    <n v="7"/>
    <s v="July"/>
    <s v="OK"/>
    <s v="Unique"/>
    <s v="Ready"/>
    <s v="Wadajir - Fraud"/>
  </r>
  <r>
    <s v="CRM00212"/>
    <d v="2025-09-23T00:00:00"/>
    <s v="Fraud"/>
    <s v="Hodan"/>
    <s v="Male"/>
    <s v="Closed"/>
    <x v="1"/>
    <n v="2025"/>
    <n v="9"/>
    <s v="September"/>
    <s v="OK"/>
    <s v="Unique"/>
    <s v="Ready"/>
    <s v="Wadajir - Robbery"/>
  </r>
  <r>
    <s v="CRM00211"/>
    <d v="2025-11-14T00:00:00"/>
    <s v="Theft"/>
    <s v="Wadajir"/>
    <s v="Male"/>
    <s v="Closed"/>
    <x v="1"/>
    <n v="2025"/>
    <n v="11"/>
    <s v="November"/>
    <s v="OK"/>
    <s v="Unique"/>
    <s v="Ready"/>
    <s v="Wadajir - Fraud"/>
  </r>
  <r>
    <s v="CRM00210"/>
    <d v="2025-04-08T00:00:00"/>
    <s v="Fraud"/>
    <s v="Daynile"/>
    <s v="Female"/>
    <s v="Closed"/>
    <x v="0"/>
    <n v="2025"/>
    <n v="4"/>
    <s v="April"/>
    <s v="OK"/>
    <s v="Unique"/>
    <s v="Ready"/>
    <s v="Wadajir - Robbery"/>
  </r>
  <r>
    <s v="CRM00209"/>
    <d v="2025-06-25T00:00:00"/>
    <s v="Theft"/>
    <s v="Hodan"/>
    <s v="Female"/>
    <s v="Under Investigation"/>
    <x v="0"/>
    <n v="2025"/>
    <n v="6"/>
    <s v="June"/>
    <s v="OK"/>
    <s v="Unique"/>
    <s v="Ready"/>
    <s v="Wadajir - Robbery"/>
  </r>
  <r>
    <s v="CRM00208"/>
    <d v="2025-09-24T00:00:00"/>
    <s v="Robbery"/>
    <s v="Karan"/>
    <s v="Unknown"/>
    <s v="Under Investigation"/>
    <x v="0"/>
    <n v="2025"/>
    <n v="9"/>
    <s v="September"/>
    <s v="Needs Review"/>
    <s v="Unique"/>
    <s v="Review"/>
    <s v="Wadajir - Burglary"/>
  </r>
  <r>
    <s v="CRM00207"/>
    <d v="2026-03-22T00:00:00"/>
    <s v="Fraud"/>
    <s v="Daynile"/>
    <s v="Male"/>
    <s v="Closed"/>
    <x v="1"/>
    <n v="2026"/>
    <n v="3"/>
    <s v="March"/>
    <s v="OK"/>
    <s v="Unique"/>
    <s v="Ready"/>
    <s v="Daynile - Assault"/>
  </r>
  <r>
    <s v="CRM00206"/>
    <d v="2026-04-11T00:00:00"/>
    <s v="Assault"/>
    <s v="Daynile"/>
    <s v="Female"/>
    <s v="Closed"/>
    <x v="0"/>
    <n v="2026"/>
    <n v="4"/>
    <s v="April"/>
    <s v="OK"/>
    <s v="Unique"/>
    <s v="Ready"/>
    <s v="Hodan - Robbery"/>
  </r>
  <r>
    <s v="CRM00205"/>
    <d v="2025-08-11T00:00:00"/>
    <s v="Assault"/>
    <s v="Karan"/>
    <s v="Female"/>
    <s v="Open"/>
    <x v="0"/>
    <n v="2025"/>
    <n v="8"/>
    <s v="August"/>
    <s v="OK"/>
    <s v="Unique"/>
    <s v="Ready"/>
    <s v="Waberi - Fraud"/>
  </r>
  <r>
    <s v="CRM00204"/>
    <d v="2026-06-25T00:00:00"/>
    <s v="Theft"/>
    <s v="Waberi"/>
    <s v="Unknown"/>
    <s v="Under Investigation"/>
    <x v="1"/>
    <n v="2026"/>
    <n v="6"/>
    <s v="June"/>
    <s v="Needs Review"/>
    <s v="Unique"/>
    <s v="Review"/>
    <s v="Daynile - Fraud"/>
  </r>
  <r>
    <s v="CRM00203"/>
    <d v="2026-04-25T00:00:00"/>
    <s v="Robbery"/>
    <s v="Karan"/>
    <s v="Unknown"/>
    <s v="Closed"/>
    <x v="0"/>
    <n v="2026"/>
    <n v="4"/>
    <s v="April"/>
    <s v="Needs Review"/>
    <s v="Unique"/>
    <s v="Review"/>
    <s v="Yaqshid - Fraud"/>
  </r>
  <r>
    <s v="CRM00202"/>
    <d v="2025-02-26T00:00:00"/>
    <s v="Theft"/>
    <s v="Hodan"/>
    <s v="Male"/>
    <s v="Under Investigation"/>
    <x v="0"/>
    <n v="2025"/>
    <n v="2"/>
    <s v="February"/>
    <s v="OK"/>
    <s v="Unique"/>
    <s v="Ready"/>
    <s v="Yaqshid - Fraud"/>
  </r>
  <r>
    <s v="CRM00201"/>
    <d v="2025-02-13T00:00:00"/>
    <s v="Burglary"/>
    <s v="Wadajir"/>
    <s v="Male"/>
    <s v="Closed"/>
    <x v="1"/>
    <n v="2025"/>
    <n v="2"/>
    <s v="February"/>
    <s v="OK"/>
    <s v="Unique"/>
    <s v="Ready"/>
    <s v="Yaqshid - Fraud"/>
  </r>
  <r>
    <s v="CRM00200"/>
    <d v="2025-06-23T00:00:00"/>
    <s v="Traffic Offense"/>
    <s v="Hodan"/>
    <s v="Unknown"/>
    <s v="Closed"/>
    <x v="2"/>
    <n v="2025"/>
    <n v="6"/>
    <s v="June"/>
    <s v="Needs Review"/>
    <s v="Unique"/>
    <s v="Review"/>
    <s v="Daynile - Theft"/>
  </r>
  <r>
    <s v="CRM00199"/>
    <d v="2026-05-15T00:00:00"/>
    <s v="Fraud"/>
    <s v="Daynile"/>
    <s v="Male"/>
    <s v="Closed"/>
    <x v="1"/>
    <n v="2026"/>
    <n v="5"/>
    <s v="May"/>
    <s v="OK"/>
    <s v="Unique"/>
    <s v="Ready"/>
    <s v="Karan - Robbery"/>
  </r>
  <r>
    <s v="CRM00198"/>
    <d v="2025-02-17T00:00:00"/>
    <s v="Assault"/>
    <s v="Wadajir"/>
    <s v="Male"/>
    <s v="Open"/>
    <x v="0"/>
    <n v="2025"/>
    <n v="2"/>
    <s v="February"/>
    <s v="OK"/>
    <s v="Unique"/>
    <s v="Ready"/>
    <s v="Yaqshid - Assault"/>
  </r>
  <r>
    <s v="CRM00197"/>
    <d v="2026-02-13T00:00:00"/>
    <s v="Burglary"/>
    <s v="Karan"/>
    <s v="Male"/>
    <s v="Closed"/>
    <x v="1"/>
    <n v="2026"/>
    <n v="2"/>
    <s v="February"/>
    <s v="OK"/>
    <s v="Unique"/>
    <s v="Ready"/>
    <s v="Karan - Fraud"/>
  </r>
  <r>
    <s v="CRM00196"/>
    <d v="2025-03-11T00:00:00"/>
    <s v="Assault"/>
    <s v="Hodan"/>
    <s v="Male"/>
    <s v="Under Investigation"/>
    <x v="0"/>
    <n v="2025"/>
    <n v="3"/>
    <s v="March"/>
    <s v="OK"/>
    <s v="Unique"/>
    <s v="Ready"/>
    <s v="Wadajir - Theft"/>
  </r>
  <r>
    <s v="CRM00195"/>
    <d v="2026-06-09T00:00:00"/>
    <s v="Theft"/>
    <s v="Wadajir"/>
    <s v="Male"/>
    <s v="Under Investigation"/>
    <x v="1"/>
    <n v="2026"/>
    <n v="6"/>
    <s v="June"/>
    <s v="OK"/>
    <s v="Unique"/>
    <s v="Ready"/>
    <s v="Hodan - Robbery"/>
  </r>
  <r>
    <s v="CRM00194"/>
    <d v="2025-04-18T00:00:00"/>
    <s v="Theft"/>
    <s v="Karan"/>
    <s v="Female"/>
    <s v="Under Investigation"/>
    <x v="0"/>
    <n v="2025"/>
    <n v="4"/>
    <s v="April"/>
    <s v="OK"/>
    <s v="Unique"/>
    <s v="Ready"/>
    <s v="Waberi - Theft"/>
  </r>
  <r>
    <s v="CRM00193"/>
    <d v="2026-07-12T00:00:00"/>
    <s v="Assault"/>
    <s v="Hodan"/>
    <s v="Male"/>
    <s v="Closed"/>
    <x v="0"/>
    <n v="2026"/>
    <n v="7"/>
    <s v="July"/>
    <s v="OK"/>
    <s v="Unique"/>
    <s v="Ready"/>
    <s v="Yaqshid - Assault"/>
  </r>
  <r>
    <s v="CRM00192"/>
    <d v="2025-05-27T00:00:00"/>
    <s v="Robbery"/>
    <s v="Wadajir"/>
    <s v="Male"/>
    <s v="Closed"/>
    <x v="0"/>
    <n v="2025"/>
    <n v="5"/>
    <s v="May"/>
    <s v="OK"/>
    <s v="Unique"/>
    <s v="Ready"/>
    <s v="Waberi - Theft"/>
  </r>
  <r>
    <s v="CRM00191"/>
    <d v="2025-07-15T00:00:00"/>
    <s v="Assault"/>
    <s v="Hodan"/>
    <s v="Male"/>
    <s v="Open"/>
    <x v="1"/>
    <n v="2025"/>
    <n v="7"/>
    <s v="July"/>
    <s v="OK"/>
    <s v="Unique"/>
    <s v="Ready"/>
    <s v="Karan - Assault"/>
  </r>
  <r>
    <s v="CRM00190"/>
    <d v="2025-06-16T00:00:00"/>
    <s v="Theft"/>
    <s v="Wadajir"/>
    <s v="Female"/>
    <s v="Open"/>
    <x v="1"/>
    <n v="2025"/>
    <n v="6"/>
    <s v="June"/>
    <s v="OK"/>
    <s v="Unique"/>
    <s v="Ready"/>
    <s v="Hodan - Theft"/>
  </r>
  <r>
    <s v="CRM00189"/>
    <d v="2025-09-01T00:00:00"/>
    <s v="Robbery"/>
    <s v="Waberi"/>
    <s v="Female"/>
    <s v="Open"/>
    <x v="0"/>
    <n v="2025"/>
    <n v="9"/>
    <s v="September"/>
    <s v="OK"/>
    <s v="Unique"/>
    <s v="Ready"/>
    <s v="Hodan - Assault"/>
  </r>
  <r>
    <s v="CRM00188"/>
    <d v="2026-02-02T00:00:00"/>
    <s v="Assault"/>
    <s v="Wadajir"/>
    <s v="Female"/>
    <s v="Open"/>
    <x v="0"/>
    <n v="2026"/>
    <n v="2"/>
    <s v="February"/>
    <s v="OK"/>
    <s v="Unique"/>
    <s v="Ready"/>
    <s v="Hodan - Robbery"/>
  </r>
  <r>
    <s v="CRM00187"/>
    <d v="2025-01-12T00:00:00"/>
    <s v="Traffic Offense"/>
    <s v="Yaqshid"/>
    <s v="Female"/>
    <s v="Under Investigation"/>
    <x v="2"/>
    <n v="2025"/>
    <n v="1"/>
    <s v="January"/>
    <s v="OK"/>
    <s v="Unique"/>
    <s v="Ready"/>
    <s v="Wadajir - Theft"/>
  </r>
  <r>
    <s v="CRM00185"/>
    <d v="2025-11-09T00:00:00"/>
    <s v="Traffic Offense"/>
    <s v="Hodan"/>
    <s v="Unknown"/>
    <s v="Closed"/>
    <x v="2"/>
    <n v="2025"/>
    <n v="11"/>
    <s v="November"/>
    <s v="Needs Review"/>
    <s v="Unique"/>
    <s v="Review"/>
    <s v="Hodan - Assault"/>
  </r>
  <r>
    <s v="CRM00183"/>
    <d v="2026-01-08T00:00:00"/>
    <s v="Fraud"/>
    <s v="Daynile"/>
    <s v="Unknown"/>
    <s v="Open"/>
    <x v="0"/>
    <n v="2026"/>
    <n v="1"/>
    <s v="January"/>
    <s v="Needs Review"/>
    <s v="Unique"/>
    <s v="Review"/>
    <s v="Wadajir - Robbery"/>
  </r>
  <r>
    <s v="CRM00182"/>
    <d v="2026-07-20T00:00:00"/>
    <s v="Theft"/>
    <s v="Yaqshid"/>
    <s v="Female"/>
    <s v="Closed"/>
    <x v="1"/>
    <n v="2026"/>
    <n v="7"/>
    <s v="July"/>
    <s v="OK"/>
    <s v="Unique"/>
    <s v="Ready"/>
    <s v="Waberi - Assault"/>
  </r>
  <r>
    <s v="CRM00181"/>
    <d v="2026-01-03T00:00:00"/>
    <s v="Robbery"/>
    <s v="Daynile"/>
    <s v="Male"/>
    <s v="Closed"/>
    <x v="0"/>
    <n v="2026"/>
    <n v="1"/>
    <s v="January"/>
    <s v="OK"/>
    <s v="Unique"/>
    <s v="Ready"/>
    <s v="Hodan - Theft"/>
  </r>
  <r>
    <s v="CRM00180"/>
    <d v="2025-07-19T00:00:00"/>
    <s v="Theft"/>
    <s v="Yaqshid"/>
    <s v="Male"/>
    <s v="Closed"/>
    <x v="1"/>
    <n v="2025"/>
    <n v="7"/>
    <s v="July"/>
    <s v="OK"/>
    <s v="Unique"/>
    <s v="Ready"/>
    <s v="Karan - Traffic Offense"/>
  </r>
  <r>
    <s v="CRM00179"/>
    <d v="2025-07-07T00:00:00"/>
    <s v="Traffic Offense"/>
    <s v="Wadajir"/>
    <s v="Male"/>
    <s v="Closed"/>
    <x v="2"/>
    <n v="2025"/>
    <n v="7"/>
    <s v="July"/>
    <s v="OK"/>
    <s v="Unique"/>
    <s v="Ready"/>
    <s v="Wadajir - Assault"/>
  </r>
  <r>
    <s v="CRM00178"/>
    <d v="2026-06-09T00:00:00"/>
    <s v="Theft"/>
    <s v="Daynile"/>
    <s v="Unknown"/>
    <s v="Under Investigation"/>
    <x v="1"/>
    <n v="2026"/>
    <n v="6"/>
    <s v="June"/>
    <s v="Needs Review"/>
    <s v="Unique"/>
    <s v="Review"/>
    <s v="Hodan - Theft"/>
  </r>
  <r>
    <s v="CRM00177"/>
    <d v="2025-10-20T00:00:00"/>
    <s v="Fraud"/>
    <s v="Waberi"/>
    <s v="Female"/>
    <s v="Closed"/>
    <x v="1"/>
    <n v="2025"/>
    <n v="10"/>
    <s v="October"/>
    <s v="OK"/>
    <s v="Unique"/>
    <s v="Ready"/>
    <s v="Waberi - Theft"/>
  </r>
  <r>
    <s v="CRM00176"/>
    <d v="2025-12-06T00:00:00"/>
    <s v="Assault"/>
    <s v="Karan"/>
    <s v="Male"/>
    <s v="Under Investigation"/>
    <x v="0"/>
    <n v="2025"/>
    <n v="12"/>
    <s v="December"/>
    <s v="OK"/>
    <s v="Unique"/>
    <s v="Ready"/>
    <s v="Yaqshid - Fraud"/>
  </r>
  <r>
    <s v="CRM00175"/>
    <d v="2025-04-23T00:00:00"/>
    <s v="Assault"/>
    <s v="Hodan"/>
    <s v="Male"/>
    <s v="Referred"/>
    <x v="0"/>
    <n v="2025"/>
    <n v="4"/>
    <s v="April"/>
    <s v="OK"/>
    <s v="Unique"/>
    <s v="Ready"/>
    <s v="Waberi - Assault"/>
  </r>
  <r>
    <s v="CRM00174"/>
    <d v="2025-04-20T00:00:00"/>
    <s v="Fraud"/>
    <s v="Yaqshid"/>
    <s v="Male"/>
    <s v="Open"/>
    <x v="1"/>
    <n v="2025"/>
    <n v="4"/>
    <s v="April"/>
    <s v="OK"/>
    <s v="Unique"/>
    <s v="Ready"/>
    <s v="Yaqshid - Robbery"/>
  </r>
  <r>
    <s v="CRM00173"/>
    <d v="2025-06-18T00:00:00"/>
    <s v="Theft"/>
    <s v="Hodan"/>
    <s v="Unknown"/>
    <s v="Closed"/>
    <x v="1"/>
    <n v="2025"/>
    <n v="6"/>
    <s v="June"/>
    <s v="Needs Review"/>
    <s v="Unique"/>
    <s v="Review"/>
    <s v="Hodan - Assault"/>
  </r>
  <r>
    <s v="CRM00172"/>
    <d v="2026-07-12T00:00:00"/>
    <s v="Theft"/>
    <s v="Hodan"/>
    <s v="Male"/>
    <s v="Closed"/>
    <x v="1"/>
    <n v="2026"/>
    <n v="7"/>
    <s v="July"/>
    <s v="OK"/>
    <s v="Unique"/>
    <s v="Ready"/>
    <s v="Hodan - Theft"/>
  </r>
  <r>
    <s v="CRM00171"/>
    <d v="2026-04-21T00:00:00"/>
    <s v="Theft"/>
    <s v="Karan"/>
    <s v="Male"/>
    <s v="Open"/>
    <x v="1"/>
    <n v="2026"/>
    <n v="4"/>
    <s v="April"/>
    <s v="OK"/>
    <s v="Unique"/>
    <s v="Ready"/>
    <s v="Hodan - Assault"/>
  </r>
  <r>
    <s v="CRM00170"/>
    <d v="2025-02-02T00:00:00"/>
    <s v="Assault"/>
    <s v="Wadajir"/>
    <s v="Female"/>
    <s v="Open"/>
    <x v="0"/>
    <n v="2025"/>
    <n v="2"/>
    <s v="February"/>
    <s v="OK"/>
    <s v="Unique"/>
    <s v="Ready"/>
    <s v="Yaqshid - Theft"/>
  </r>
  <r>
    <s v="CRM00169"/>
    <d v="2026-05-13T00:00:00"/>
    <s v="Traffic Offense"/>
    <s v="Wadajir"/>
    <s v="Female"/>
    <s v="Closed"/>
    <x v="2"/>
    <n v="2026"/>
    <n v="5"/>
    <s v="May"/>
    <s v="OK"/>
    <s v="Unique"/>
    <s v="Ready"/>
    <s v="Hodan - Theft"/>
  </r>
  <r>
    <s v="CRM00168"/>
    <d v="2026-05-30T00:00:00"/>
    <s v="Theft"/>
    <s v="Hodan"/>
    <s v="Male"/>
    <s v="Open"/>
    <x v="1"/>
    <n v="2026"/>
    <n v="5"/>
    <s v="May"/>
    <s v="OK"/>
    <s v="Unique"/>
    <s v="Ready"/>
    <s v="Daynile - Assault"/>
  </r>
  <r>
    <s v="CRM00167"/>
    <d v="2025-05-29T00:00:00"/>
    <s v="Fraud"/>
    <s v="Wadajir"/>
    <s v="Unknown"/>
    <s v="Under Investigation"/>
    <x v="1"/>
    <n v="2025"/>
    <n v="5"/>
    <s v="May"/>
    <s v="Needs Review"/>
    <s v="Unique"/>
    <s v="Review"/>
    <s v="Karan - Robbery"/>
  </r>
  <r>
    <s v="CRM00166"/>
    <d v="2025-01-11T00:00:00"/>
    <s v="Burglary"/>
    <s v="Hodan"/>
    <s v="Male"/>
    <s v="Closed"/>
    <x v="1"/>
    <n v="2025"/>
    <n v="1"/>
    <s v="January"/>
    <s v="OK"/>
    <s v="Unique"/>
    <s v="Ready"/>
    <s v="Hodan - Fraud"/>
  </r>
  <r>
    <s v="CRM00165"/>
    <d v="2025-11-16T00:00:00"/>
    <s v="Theft"/>
    <s v="Yaqshid"/>
    <s v="Male"/>
    <s v="Open"/>
    <x v="1"/>
    <n v="2025"/>
    <n v="11"/>
    <s v="November"/>
    <s v="OK"/>
    <s v="Unique"/>
    <s v="Ready"/>
    <s v="Wadajir - Fraud"/>
  </r>
  <r>
    <s v="CRM00164"/>
    <d v="2025-10-05T00:00:00"/>
    <s v="Fraud"/>
    <s v="Yaqshid"/>
    <s v="Unknown"/>
    <s v="Under Investigation"/>
    <x v="1"/>
    <n v="2025"/>
    <n v="10"/>
    <s v="October"/>
    <s v="Needs Review"/>
    <s v="Unique"/>
    <s v="Review"/>
    <s v="Wadajir - Theft"/>
  </r>
  <r>
    <s v="CRM00163"/>
    <d v="2026-07-12T00:00:00"/>
    <s v="Theft"/>
    <s v="Wadajir"/>
    <s v="Male"/>
    <s v="Closed"/>
    <x v="1"/>
    <n v="2026"/>
    <n v="7"/>
    <s v="July"/>
    <s v="OK"/>
    <s v="Unique"/>
    <s v="Ready"/>
    <s v="Karan - Theft"/>
  </r>
  <r>
    <s v="CRM00162"/>
    <d v="2026-05-18T00:00:00"/>
    <s v="Assault"/>
    <s v="Hodan"/>
    <s v="Male"/>
    <s v="Open"/>
    <x v="0"/>
    <n v="2026"/>
    <n v="5"/>
    <s v="May"/>
    <s v="OK"/>
    <s v="Unique"/>
    <s v="Ready"/>
    <s v="Karan - Assault"/>
  </r>
  <r>
    <s v="CRM00161"/>
    <d v="2025-10-27T00:00:00"/>
    <s v="Theft"/>
    <s v="Karan"/>
    <s v="Male"/>
    <s v="Under Investigation"/>
    <x v="0"/>
    <n v="2025"/>
    <n v="10"/>
    <s v="October"/>
    <s v="OK"/>
    <s v="Unique"/>
    <s v="Ready"/>
    <s v="Wadajir - Theft"/>
  </r>
  <r>
    <s v="CRM00160"/>
    <d v="2025-02-25T00:00:00"/>
    <s v="Assault"/>
    <s v="Yaqshid"/>
    <s v="Male"/>
    <s v="Referred"/>
    <x v="0"/>
    <n v="2025"/>
    <n v="2"/>
    <s v="February"/>
    <s v="OK"/>
    <s v="Unique"/>
    <s v="Ready"/>
    <s v="Wadajir - Fraud"/>
  </r>
  <r>
    <s v="CRM00158"/>
    <d v="2025-09-19T00:00:00"/>
    <s v="Assault"/>
    <s v="Wadajir"/>
    <s v="Male"/>
    <s v="Under Investigation"/>
    <x v="0"/>
    <n v="2025"/>
    <n v="9"/>
    <s v="September"/>
    <s v="OK"/>
    <s v="Unique"/>
    <s v="Ready"/>
    <s v="Karan - Fraud"/>
  </r>
  <r>
    <s v="CRM00157"/>
    <d v="2026-05-14T00:00:00"/>
    <s v="Robbery"/>
    <s v="Daynile"/>
    <s v="Female"/>
    <s v="Referred"/>
    <x v="0"/>
    <n v="2026"/>
    <n v="5"/>
    <s v="May"/>
    <s v="OK"/>
    <s v="Unique"/>
    <s v="Ready"/>
    <s v="Wadajir - Assault"/>
  </r>
  <r>
    <s v="CRM00156"/>
    <d v="2026-07-06T00:00:00"/>
    <s v="Theft"/>
    <s v="Waberi"/>
    <s v="Male"/>
    <s v="Closed"/>
    <x v="1"/>
    <n v="2026"/>
    <n v="7"/>
    <s v="July"/>
    <s v="OK"/>
    <s v="Unique"/>
    <s v="Ready"/>
    <s v="Daynile - Robbery"/>
  </r>
  <r>
    <s v="CRM00155"/>
    <d v="2026-01-29T00:00:00"/>
    <s v="Assault"/>
    <s v="Daynile"/>
    <s v="Male"/>
    <s v="Closed"/>
    <x v="0"/>
    <n v="2026"/>
    <n v="1"/>
    <s v="January"/>
    <s v="OK"/>
    <s v="Unique"/>
    <s v="Ready"/>
    <s v="Hodan - Assault"/>
  </r>
  <r>
    <s v="CRM00153"/>
    <d v="2026-04-06T00:00:00"/>
    <s v="Theft"/>
    <s v="Hodan"/>
    <s v="Unknown"/>
    <s v="Under Investigation"/>
    <x v="1"/>
    <n v="2026"/>
    <n v="4"/>
    <s v="April"/>
    <s v="Needs Review"/>
    <s v="Unique"/>
    <s v="Review"/>
    <s v="Waberi - Burglary"/>
  </r>
  <r>
    <s v="CRM00152"/>
    <d v="2026-02-02T00:00:00"/>
    <s v="Fraud"/>
    <s v="Yaqshid"/>
    <s v="Female"/>
    <s v="Closed"/>
    <x v="2"/>
    <n v="2026"/>
    <n v="2"/>
    <s v="February"/>
    <s v="OK"/>
    <s v="Unique"/>
    <s v="Ready"/>
    <s v="Karan - Theft"/>
  </r>
  <r>
    <s v="CRM00151"/>
    <d v="2025-12-27T00:00:00"/>
    <s v="Robbery"/>
    <s v="Waberi"/>
    <s v="Female"/>
    <s v="Closed"/>
    <x v="0"/>
    <n v="2025"/>
    <n v="12"/>
    <s v="December"/>
    <s v="OK"/>
    <s v="Unique"/>
    <s v="Ready"/>
    <s v="Hodan - Theft"/>
  </r>
  <r>
    <s v="CRM00150"/>
    <d v="2026-01-15T00:00:00"/>
    <s v="Theft"/>
    <s v="Hodan"/>
    <s v="Female"/>
    <s v="Closed"/>
    <x v="1"/>
    <n v="2026"/>
    <n v="1"/>
    <s v="January"/>
    <s v="OK"/>
    <s v="Unique"/>
    <s v="Ready"/>
    <s v="Waberi - Fraud"/>
  </r>
  <r>
    <s v="CRM00149"/>
    <d v="2026-05-08T00:00:00"/>
    <s v="Theft"/>
    <s v="Hodan"/>
    <s v="Male"/>
    <s v="Under Investigation"/>
    <x v="1"/>
    <n v="2026"/>
    <n v="5"/>
    <s v="May"/>
    <s v="OK"/>
    <s v="Unique"/>
    <s v="Ready"/>
    <s v="Waberi - Robbery"/>
  </r>
  <r>
    <s v="CRM00148"/>
    <d v="2025-07-12T00:00:00"/>
    <s v="Theft"/>
    <s v="Wadajir"/>
    <s v="Unknown"/>
    <s v="Closed"/>
    <x v="1"/>
    <n v="2025"/>
    <n v="7"/>
    <s v="July"/>
    <s v="Needs Review"/>
    <s v="Unique"/>
    <s v="Review"/>
    <s v="Yaqshid - Theft"/>
  </r>
  <r>
    <s v="CRM00147"/>
    <d v="2025-08-07T00:00:00"/>
    <s v="Assault"/>
    <s v="Hodan"/>
    <s v="Female"/>
    <s v="Open"/>
    <x v="0"/>
    <n v="2025"/>
    <n v="8"/>
    <s v="August"/>
    <s v="OK"/>
    <s v="Unique"/>
    <s v="Ready"/>
    <s v="Wadajir - Fraud"/>
  </r>
  <r>
    <s v="CRM00146"/>
    <d v="2025-07-12T00:00:00"/>
    <s v="Assault"/>
    <s v="Waberi"/>
    <s v="Female"/>
    <s v="Open"/>
    <x v="0"/>
    <n v="2025"/>
    <n v="7"/>
    <s v="July"/>
    <s v="OK"/>
    <s v="Unique"/>
    <s v="Ready"/>
    <s v="Wadajir - Theft"/>
  </r>
  <r>
    <s v="CRM00145"/>
    <d v="2025-08-08T00:00:00"/>
    <s v="Fraud"/>
    <s v="Waberi"/>
    <s v="Female"/>
    <s v="Closed"/>
    <x v="1"/>
    <n v="2025"/>
    <n v="8"/>
    <s v="August"/>
    <s v="OK"/>
    <s v="Unique"/>
    <s v="Ready"/>
    <s v="Yaqshid - Fraud"/>
  </r>
  <r>
    <s v="CRM00144"/>
    <d v="2026-02-26T00:00:00"/>
    <s v="Fraud"/>
    <s v="Karan"/>
    <s v="Unknown"/>
    <s v="Under Investigation"/>
    <x v="1"/>
    <n v="2026"/>
    <n v="2"/>
    <s v="February"/>
    <s v="Needs Review"/>
    <s v="Unique"/>
    <s v="Review"/>
    <s v="Waberi - Robbery"/>
  </r>
  <r>
    <s v="CRM00143"/>
    <d v="2026-05-26T00:00:00"/>
    <s v="Theft"/>
    <s v="Wadajir"/>
    <s v="Female"/>
    <s v="Closed"/>
    <x v="1"/>
    <n v="2026"/>
    <n v="5"/>
    <s v="May"/>
    <s v="OK"/>
    <s v="Unique"/>
    <s v="Ready"/>
    <s v="Daynile - Robbery"/>
  </r>
  <r>
    <s v="CRM00142"/>
    <d v="2026-03-06T00:00:00"/>
    <s v="Assault"/>
    <s v="Hodan"/>
    <s v="Female"/>
    <s v="Open"/>
    <x v="0"/>
    <n v="2026"/>
    <n v="3"/>
    <s v="March"/>
    <s v="OK"/>
    <s v="Unique"/>
    <s v="Ready"/>
    <s v="Daynile - Fraud"/>
  </r>
  <r>
    <s v="CRM00141"/>
    <d v="2026-07-12T00:00:00"/>
    <s v="Burglary"/>
    <s v="Wadajir"/>
    <s v="Female"/>
    <s v="Closed"/>
    <x v="1"/>
    <n v="2026"/>
    <n v="7"/>
    <s v="July"/>
    <s v="OK"/>
    <s v="Unique"/>
    <s v="Ready"/>
    <s v="Wadajir - Assault"/>
  </r>
  <r>
    <s v="CRM00140"/>
    <d v="2025-01-14T00:00:00"/>
    <s v="Robbery"/>
    <s v="Wadajir"/>
    <s v="Female"/>
    <s v="Under Investigation"/>
    <x v="0"/>
    <n v="2025"/>
    <n v="1"/>
    <s v="January"/>
    <s v="OK"/>
    <s v="Unique"/>
    <s v="Ready"/>
    <s v="Daynile - Theft"/>
  </r>
  <r>
    <s v="CRM00139"/>
    <d v="2026-05-10T00:00:00"/>
    <s v="Robbery"/>
    <s v="Karan"/>
    <s v="Male"/>
    <s v="Referred"/>
    <x v="0"/>
    <n v="2026"/>
    <n v="5"/>
    <s v="May"/>
    <s v="OK"/>
    <s v="Unique"/>
    <s v="Ready"/>
    <s v="Yaqshid - Burglary"/>
  </r>
  <r>
    <s v="CRM00138"/>
    <d v="2026-03-17T00:00:00"/>
    <s v="Theft"/>
    <s v="Yaqshid"/>
    <s v="Female"/>
    <s v="Under Investigation"/>
    <x v="1"/>
    <n v="2026"/>
    <n v="3"/>
    <s v="March"/>
    <s v="OK"/>
    <s v="Unique"/>
    <s v="Ready"/>
    <s v="Wadajir - Theft"/>
  </r>
  <r>
    <s v="CRM00137"/>
    <d v="2026-05-12T00:00:00"/>
    <s v="Traffic Offense"/>
    <s v="Karan"/>
    <s v="Male"/>
    <s v="Referred"/>
    <x v="2"/>
    <n v="2026"/>
    <n v="5"/>
    <s v="May"/>
    <s v="OK"/>
    <s v="Unique"/>
    <s v="Ready"/>
    <s v="Daynile - Assault"/>
  </r>
  <r>
    <s v="CRM00136"/>
    <d v="2025-12-28T00:00:00"/>
    <s v="Theft"/>
    <s v="Yaqshid"/>
    <s v="Unknown"/>
    <s v="Closed"/>
    <x v="1"/>
    <n v="2025"/>
    <n v="12"/>
    <s v="December"/>
    <s v="Needs Review"/>
    <s v="Unique"/>
    <s v="Review"/>
    <s v="Yaqshid - Theft"/>
  </r>
  <r>
    <s v="CRM00135"/>
    <d v="2025-03-07T00:00:00"/>
    <s v="Fraud"/>
    <s v="Yaqshid"/>
    <s v="Female"/>
    <s v="Open"/>
    <x v="1"/>
    <n v="2025"/>
    <n v="3"/>
    <s v="March"/>
    <s v="OK"/>
    <s v="Unique"/>
    <s v="Ready"/>
    <s v="Waberi - Theft"/>
  </r>
  <r>
    <s v="CRM00134"/>
    <d v="2025-07-28T00:00:00"/>
    <s v="Assault"/>
    <s v="Hodan"/>
    <s v="Unknown"/>
    <s v="Open"/>
    <x v="1"/>
    <n v="2025"/>
    <n v="7"/>
    <s v="July"/>
    <s v="Needs Review"/>
    <s v="Unique"/>
    <s v="Review"/>
    <s v="Hodan - Assault"/>
  </r>
  <r>
    <s v="CRM00133"/>
    <d v="2025-07-07T00:00:00"/>
    <s v="Burglary"/>
    <s v="Karan"/>
    <s v="Male"/>
    <s v="Closed"/>
    <x v="1"/>
    <n v="2025"/>
    <n v="7"/>
    <s v="July"/>
    <s v="OK"/>
    <s v="Unique"/>
    <s v="Ready"/>
    <s v="Daynile - Theft"/>
  </r>
  <r>
    <s v="CRM00132"/>
    <d v="2025-04-01T00:00:00"/>
    <s v="Burglary"/>
    <s v="Wadajir"/>
    <s v="Female"/>
    <s v="Closed"/>
    <x v="1"/>
    <n v="2025"/>
    <n v="4"/>
    <s v="April"/>
    <s v="OK"/>
    <s v="Unique"/>
    <s v="Ready"/>
    <s v="Hodan - Theft"/>
  </r>
  <r>
    <s v="CRM00131"/>
    <d v="2026-02-01T00:00:00"/>
    <s v="Assault"/>
    <s v="Yaqshid"/>
    <s v="Female"/>
    <s v="Referred"/>
    <x v="0"/>
    <n v="2026"/>
    <n v="2"/>
    <s v="February"/>
    <s v="OK"/>
    <s v="Unique"/>
    <s v="Ready"/>
    <s v="Hodan - Assault"/>
  </r>
  <r>
    <s v="CRM00130"/>
    <d v="2026-06-26T00:00:00"/>
    <s v="Fraud"/>
    <s v="Hodan"/>
    <s v="Female"/>
    <s v="Referred"/>
    <x v="1"/>
    <n v="2026"/>
    <n v="6"/>
    <s v="June"/>
    <s v="OK"/>
    <s v="Unique"/>
    <s v="Ready"/>
    <s v="Yaqshid - Fraud"/>
  </r>
  <r>
    <s v="CRM00129"/>
    <d v="2026-07-29T00:00:00"/>
    <s v="Fraud"/>
    <s v="Daynile"/>
    <s v="Female"/>
    <s v="Closed"/>
    <x v="1"/>
    <n v="2026"/>
    <n v="7"/>
    <s v="July"/>
    <s v="OK"/>
    <s v="Unique"/>
    <s v="Ready"/>
    <s v="Hodan - Fraud"/>
  </r>
  <r>
    <s v="CRM00128"/>
    <d v="2026-07-12T00:00:00"/>
    <s v="Traffic Offense"/>
    <s v="Karan"/>
    <s v="Male"/>
    <s v="Closed"/>
    <x v="2"/>
    <n v="2026"/>
    <n v="7"/>
    <s v="July"/>
    <s v="OK"/>
    <s v="Unique"/>
    <s v="Ready"/>
    <s v="Karan - Robbery"/>
  </r>
  <r>
    <s v="CRM00127"/>
    <d v="2026-05-03T00:00:00"/>
    <s v="Fraud"/>
    <s v="Wadajir"/>
    <s v="Male"/>
    <s v="Referred"/>
    <x v="1"/>
    <n v="2026"/>
    <n v="5"/>
    <s v="May"/>
    <s v="OK"/>
    <s v="Unique"/>
    <s v="Ready"/>
    <s v="Wadajir - Theft"/>
  </r>
  <r>
    <s v="CRM00126"/>
    <d v="2026-01-12T00:00:00"/>
    <s v="Theft"/>
    <s v="Hodan"/>
    <s v="Unknown"/>
    <s v="Open"/>
    <x v="1"/>
    <n v="2026"/>
    <n v="1"/>
    <s v="January"/>
    <s v="Needs Review"/>
    <s v="Unique"/>
    <s v="Review"/>
    <s v="Yaqshid - Theft"/>
  </r>
  <r>
    <s v="CRM00125"/>
    <d v="2026-04-16T00:00:00"/>
    <s v="Assault"/>
    <s v="Wadajir"/>
    <s v="Unknown"/>
    <s v="Referred"/>
    <x v="0"/>
    <n v="2026"/>
    <n v="4"/>
    <s v="April"/>
    <s v="Needs Review"/>
    <s v="Unique"/>
    <s v="Review"/>
    <s v="Wadajir - Traffic Offense"/>
  </r>
  <r>
    <s v="CRM00124"/>
    <d v="2025-05-26T00:00:00"/>
    <s v="Robbery"/>
    <s v="Wadajir"/>
    <s v="Unknown"/>
    <s v="Open"/>
    <x v="0"/>
    <n v="2025"/>
    <n v="5"/>
    <s v="May"/>
    <s v="Needs Review"/>
    <s v="Unique"/>
    <s v="Review"/>
    <s v="Wadajir - Theft"/>
  </r>
  <r>
    <s v="CRM00123"/>
    <d v="2025-01-21T00:00:00"/>
    <s v="Theft"/>
    <s v="Yaqshid"/>
    <s v="Unknown"/>
    <s v="Closed"/>
    <x v="1"/>
    <n v="2025"/>
    <n v="1"/>
    <s v="January"/>
    <s v="Needs Review"/>
    <s v="Unique"/>
    <s v="Review"/>
    <s v="Hodan - Assault"/>
  </r>
  <r>
    <s v="CRM00122"/>
    <d v="2025-12-12T00:00:00"/>
    <s v="Theft"/>
    <s v="Hodan"/>
    <s v="Female"/>
    <s v="Under Investigation"/>
    <x v="1"/>
    <n v="2025"/>
    <n v="12"/>
    <s v="December"/>
    <s v="OK"/>
    <s v="Unique"/>
    <s v="Ready"/>
    <s v="Wadajir - Theft"/>
  </r>
  <r>
    <s v="CRM00121"/>
    <d v="2025-07-26T00:00:00"/>
    <s v="Theft"/>
    <s v="Daynile"/>
    <s v="Male"/>
    <s v="Referred"/>
    <x v="2"/>
    <n v="2025"/>
    <n v="7"/>
    <s v="July"/>
    <s v="OK"/>
    <s v="Unique"/>
    <s v="Ready"/>
    <s v="Wadajir - Assault"/>
  </r>
  <r>
    <s v="CRM00120"/>
    <d v="2025-10-15T00:00:00"/>
    <s v="Fraud"/>
    <s v="Hodan"/>
    <s v="Unknown"/>
    <s v="Referred"/>
    <x v="1"/>
    <n v="2025"/>
    <n v="10"/>
    <s v="October"/>
    <s v="Needs Review"/>
    <s v="Unique"/>
    <s v="Review"/>
    <s v="Hodan - Fraud"/>
  </r>
  <r>
    <s v="CRM00119"/>
    <d v="2025-11-13T00:00:00"/>
    <s v="Robbery"/>
    <s v="Yaqshid"/>
    <s v="Male"/>
    <s v="Closed"/>
    <x v="0"/>
    <n v="2025"/>
    <n v="11"/>
    <s v="November"/>
    <s v="OK"/>
    <s v="Unique"/>
    <s v="Ready"/>
    <s v="Wadajir - Theft"/>
  </r>
  <r>
    <s v="CRM00118"/>
    <d v="2025-06-24T00:00:00"/>
    <s v="Theft"/>
    <s v="Hodan"/>
    <s v="Male"/>
    <s v="Referred"/>
    <x v="1"/>
    <n v="2025"/>
    <n v="6"/>
    <s v="June"/>
    <s v="OK"/>
    <s v="Unique"/>
    <s v="Ready"/>
    <s v="Hodan - Theft"/>
  </r>
  <r>
    <s v="CRM00117"/>
    <d v="2026-07-31T00:00:00"/>
    <s v="Theft"/>
    <s v="Wadajir"/>
    <s v="Male"/>
    <s v="Closed"/>
    <x v="1"/>
    <n v="2026"/>
    <n v="7"/>
    <s v="July"/>
    <s v="OK"/>
    <s v="Unique"/>
    <s v="Ready"/>
    <s v="Waberi - Traffic Offense"/>
  </r>
  <r>
    <s v="CRM00116"/>
    <d v="2025-04-07T00:00:00"/>
    <s v="Assault"/>
    <s v="Waberi"/>
    <s v="Male"/>
    <s v="Closed"/>
    <x v="0"/>
    <n v="2025"/>
    <n v="4"/>
    <s v="April"/>
    <s v="OK"/>
    <s v="Unique"/>
    <s v="Ready"/>
    <s v="Wadajir - Theft"/>
  </r>
  <r>
    <s v="CRM00114"/>
    <d v="2025-11-23T00:00:00"/>
    <s v="Assault"/>
    <s v="Hodan"/>
    <s v="Male"/>
    <s v="Closed"/>
    <x v="0"/>
    <n v="2025"/>
    <n v="11"/>
    <s v="November"/>
    <s v="OK"/>
    <s v="Unique"/>
    <s v="Ready"/>
    <s v="Wadajir - Fraud"/>
  </r>
  <r>
    <s v="CRM00113"/>
    <d v="2025-09-01T00:00:00"/>
    <s v="Robbery"/>
    <s v="Hodan"/>
    <s v="Male"/>
    <s v="Closed"/>
    <x v="0"/>
    <n v="2025"/>
    <n v="9"/>
    <s v="September"/>
    <s v="OK"/>
    <s v="Unique"/>
    <s v="Ready"/>
    <s v="Hodan - Theft"/>
  </r>
  <r>
    <s v="CRM00112"/>
    <d v="2025-08-01T00:00:00"/>
    <s v="Theft"/>
    <s v="Karan"/>
    <s v="Unknown"/>
    <s v="Open"/>
    <x v="1"/>
    <n v="2025"/>
    <n v="8"/>
    <s v="August"/>
    <s v="Needs Review"/>
    <s v="Unique"/>
    <s v="Review"/>
    <s v="Hodan - Assault"/>
  </r>
  <r>
    <s v="CRM00111"/>
    <d v="2026-05-29T00:00:00"/>
    <s v="Theft"/>
    <s v="Daynile"/>
    <s v="Male"/>
    <s v="Closed"/>
    <x v="1"/>
    <n v="2026"/>
    <n v="5"/>
    <s v="May"/>
    <s v="OK"/>
    <s v="Unique"/>
    <s v="Ready"/>
    <s v="Wadajir - Traffic Offense"/>
  </r>
  <r>
    <s v="CRM00109"/>
    <d v="2026-03-23T00:00:00"/>
    <s v="Robbery"/>
    <s v="Yaqshid"/>
    <s v="Male"/>
    <s v="Closed"/>
    <x v="1"/>
    <n v="2026"/>
    <n v="3"/>
    <s v="March"/>
    <s v="OK"/>
    <s v="Unique"/>
    <s v="Ready"/>
    <s v="Hodan - Traffic Offense"/>
  </r>
  <r>
    <s v="CRM00107"/>
    <d v="2025-08-24T00:00:00"/>
    <s v="Robbery"/>
    <s v="Waberi"/>
    <s v="Male"/>
    <s v="Referred"/>
    <x v="0"/>
    <n v="2025"/>
    <n v="8"/>
    <s v="August"/>
    <s v="OK"/>
    <s v="Unique"/>
    <s v="Ready"/>
    <s v="Hodan - Theft"/>
  </r>
  <r>
    <s v="CRM00106"/>
    <d v="2026-04-18T00:00:00"/>
    <s v="Theft"/>
    <s v="Waberi"/>
    <s v="Unknown"/>
    <s v="Open"/>
    <x v="1"/>
    <n v="2026"/>
    <n v="4"/>
    <s v="April"/>
    <s v="Needs Review"/>
    <s v="Unique"/>
    <s v="Review"/>
    <s v="Hodan - Traffic Offense"/>
  </r>
  <r>
    <s v="CRM00105"/>
    <d v="2025-04-08T00:00:00"/>
    <s v="Traffic Offense"/>
    <s v="Karan"/>
    <s v="Male"/>
    <s v="Closed"/>
    <x v="2"/>
    <n v="2025"/>
    <n v="4"/>
    <s v="April"/>
    <s v="OK"/>
    <s v="Unique"/>
    <s v="Ready"/>
    <s v="Hodan - Theft"/>
  </r>
  <r>
    <s v="CRM00104"/>
    <d v="2025-05-16T00:00:00"/>
    <s v="Robbery"/>
    <s v="Yaqshid"/>
    <s v="Male"/>
    <s v="Under Investigation"/>
    <x v="0"/>
    <n v="2025"/>
    <n v="5"/>
    <s v="May"/>
    <s v="OK"/>
    <s v="Unique"/>
    <s v="Ready"/>
    <s v="Yaqshid - Robbery"/>
  </r>
  <r>
    <s v="CRM00103"/>
    <d v="2026-02-14T00:00:00"/>
    <s v="Robbery"/>
    <s v="Hodan"/>
    <s v="Female"/>
    <s v="Closed"/>
    <x v="0"/>
    <n v="2026"/>
    <n v="2"/>
    <s v="February"/>
    <s v="OK"/>
    <s v="Unique"/>
    <s v="Ready"/>
    <s v="Hodan - Theft"/>
  </r>
  <r>
    <s v="CRM00102"/>
    <d v="2025-10-30T00:00:00"/>
    <s v="Theft"/>
    <s v="Yaqshid"/>
    <s v="Female"/>
    <s v="Closed"/>
    <x v="1"/>
    <n v="2025"/>
    <n v="10"/>
    <s v="October"/>
    <s v="OK"/>
    <s v="Unique"/>
    <s v="Ready"/>
    <s v="Hodan - Robbery"/>
  </r>
  <r>
    <s v="CRM00101"/>
    <d v="2025-03-13T00:00:00"/>
    <s v="Assault"/>
    <s v="Hodan"/>
    <s v="Male"/>
    <s v="Open"/>
    <x v="0"/>
    <n v="2025"/>
    <n v="3"/>
    <s v="March"/>
    <s v="OK"/>
    <s v="Unique"/>
    <s v="Ready"/>
    <s v="Waberi - Theft"/>
  </r>
  <r>
    <s v="CRM00100"/>
    <d v="2025-08-15T00:00:00"/>
    <s v="Traffic Offense"/>
    <s v="Wadajir"/>
    <s v="Unknown"/>
    <s v="Under Investigation"/>
    <x v="2"/>
    <n v="2025"/>
    <n v="8"/>
    <s v="August"/>
    <s v="Needs Review"/>
    <s v="Unique"/>
    <s v="Review"/>
    <s v="Hodan - Fraud"/>
  </r>
  <r>
    <s v="CRM00099"/>
    <d v="2026-04-17T00:00:00"/>
    <s v="Theft"/>
    <s v="Wadajir"/>
    <s v="Male"/>
    <s v="Referred"/>
    <x v="1"/>
    <n v="2026"/>
    <n v="4"/>
    <s v="April"/>
    <s v="OK"/>
    <s v="Unique"/>
    <s v="Ready"/>
    <s v="Daynile - Assault"/>
  </r>
  <r>
    <s v="CRM00098"/>
    <d v="2025-05-07T00:00:00"/>
    <s v="Fraud"/>
    <s v="Hodan"/>
    <s v="Male"/>
    <s v="Closed"/>
    <x v="1"/>
    <n v="2025"/>
    <n v="5"/>
    <s v="May"/>
    <s v="OK"/>
    <s v="Unique"/>
    <s v="Ready"/>
    <s v="Waberi - Robbery"/>
  </r>
  <r>
    <s v="CRM00097"/>
    <d v="2026-07-13T00:00:00"/>
    <s v="Assault"/>
    <s v="Waberi"/>
    <s v="Female"/>
    <s v="Under Investigation"/>
    <x v="0"/>
    <n v="2026"/>
    <n v="7"/>
    <s v="July"/>
    <s v="OK"/>
    <s v="Unique"/>
    <s v="Ready"/>
    <s v="Hodan - Fraud"/>
  </r>
  <r>
    <s v="CRM00096"/>
    <d v="2025-04-08T00:00:00"/>
    <s v="Fraud"/>
    <s v="Daynile"/>
    <s v="Male"/>
    <s v="Under Investigation"/>
    <x v="1"/>
    <n v="2025"/>
    <n v="4"/>
    <s v="April"/>
    <s v="OK"/>
    <s v="Unique"/>
    <s v="Ready"/>
    <s v="Daynile - Robbery"/>
  </r>
  <r>
    <s v="CRM00094"/>
    <d v="2026-02-08T00:00:00"/>
    <s v="Theft"/>
    <s v="Wadajir"/>
    <s v="Male"/>
    <s v="Closed"/>
    <x v="1"/>
    <n v="2026"/>
    <n v="2"/>
    <s v="February"/>
    <s v="OK"/>
    <s v="Unique"/>
    <s v="Ready"/>
    <s v="Waberi - Fraud"/>
  </r>
  <r>
    <s v="CRM00093"/>
    <d v="2025-05-30T00:00:00"/>
    <s v="Theft"/>
    <s v="Waberi"/>
    <s v="Male"/>
    <s v="Closed"/>
    <x v="1"/>
    <n v="2025"/>
    <n v="5"/>
    <s v="May"/>
    <s v="OK"/>
    <s v="Unique"/>
    <s v="Ready"/>
    <s v="Wadajir - Burglary"/>
  </r>
  <r>
    <s v="CRM00092"/>
    <d v="2026-03-10T00:00:00"/>
    <s v="Assault"/>
    <s v="Hodan"/>
    <s v="Female"/>
    <s v="Closed"/>
    <x v="1"/>
    <n v="2026"/>
    <n v="3"/>
    <s v="March"/>
    <s v="OK"/>
    <s v="Unique"/>
    <s v="Ready"/>
    <s v="Yaqshid - Theft"/>
  </r>
  <r>
    <s v="CRM00091"/>
    <d v="2026-04-15T00:00:00"/>
    <s v="Robbery"/>
    <s v="Hodan"/>
    <s v="Male"/>
    <s v="Closed"/>
    <x v="0"/>
    <n v="2026"/>
    <n v="4"/>
    <s v="April"/>
    <s v="OK"/>
    <s v="Unique"/>
    <s v="Ready"/>
    <s v="Hodan - Assault"/>
  </r>
  <r>
    <s v="CRM00090"/>
    <d v="2025-12-04T00:00:00"/>
    <s v="Assault"/>
    <s v="Karan"/>
    <s v="Male"/>
    <s v="Closed"/>
    <x v="0"/>
    <n v="2025"/>
    <n v="12"/>
    <s v="December"/>
    <s v="OK"/>
    <s v="Unique"/>
    <s v="Ready"/>
    <s v="Karan - Assault"/>
  </r>
  <r>
    <s v="CRM00088"/>
    <d v="2025-09-30T00:00:00"/>
    <s v="Robbery"/>
    <s v="Wadajir"/>
    <s v="Male"/>
    <s v="Under Investigation"/>
    <x v="0"/>
    <n v="2025"/>
    <n v="9"/>
    <s v="September"/>
    <s v="OK"/>
    <s v="Unique"/>
    <s v="Ready"/>
    <s v="Wadajir - Theft"/>
  </r>
  <r>
    <s v="CRM00087"/>
    <d v="2025-09-09T00:00:00"/>
    <s v="Burglary"/>
    <s v="Yaqshid"/>
    <s v="Unknown"/>
    <s v="Open"/>
    <x v="1"/>
    <n v="2025"/>
    <n v="9"/>
    <s v="September"/>
    <s v="Needs Review"/>
    <s v="Unique"/>
    <s v="Review"/>
    <s v="Wadajir - Theft"/>
  </r>
  <r>
    <s v="CRM00086"/>
    <d v="2025-10-14T00:00:00"/>
    <s v="Fraud"/>
    <s v="Daynile"/>
    <s v="Female"/>
    <s v="Under Investigation"/>
    <x v="1"/>
    <n v="2025"/>
    <n v="10"/>
    <s v="October"/>
    <s v="OK"/>
    <s v="Unique"/>
    <s v="Ready"/>
    <s v="Hodan - Fraud"/>
  </r>
  <r>
    <s v="CRM00085"/>
    <d v="2025-12-09T00:00:00"/>
    <s v="Theft"/>
    <s v="Hodan"/>
    <s v="Male"/>
    <s v="Open"/>
    <x v="1"/>
    <n v="2025"/>
    <n v="12"/>
    <s v="December"/>
    <s v="OK"/>
    <s v="Unique"/>
    <s v="Ready"/>
    <s v="Karan - Theft"/>
  </r>
  <r>
    <s v="CRM00083"/>
    <d v="2025-06-25T00:00:00"/>
    <s v="Fraud"/>
    <s v="Hodan"/>
    <s v="Female"/>
    <s v="Open"/>
    <x v="1"/>
    <n v="2025"/>
    <n v="6"/>
    <s v="June"/>
    <s v="OK"/>
    <s v="Unique"/>
    <s v="Ready"/>
    <s v="Hodan - Fraud"/>
  </r>
  <r>
    <s v="CRM00082"/>
    <d v="2025-01-25T00:00:00"/>
    <s v="Theft"/>
    <s v="Daynile"/>
    <s v="Female"/>
    <s v="Under Investigation"/>
    <x v="1"/>
    <n v="2025"/>
    <n v="1"/>
    <s v="January"/>
    <s v="OK"/>
    <s v="Unique"/>
    <s v="Ready"/>
    <s v="Waberi - Theft"/>
  </r>
  <r>
    <s v="CRM00081"/>
    <d v="2025-06-22T00:00:00"/>
    <s v="Theft"/>
    <s v="Karan"/>
    <s v="Male"/>
    <s v="Closed"/>
    <x v="1"/>
    <n v="2025"/>
    <n v="6"/>
    <s v="June"/>
    <s v="OK"/>
    <s v="Unique"/>
    <s v="Ready"/>
    <s v="Yaqshid - Burglary"/>
  </r>
  <r>
    <s v="CRM00078"/>
    <d v="2026-03-06T00:00:00"/>
    <s v="Traffic Offense"/>
    <s v="Hodan"/>
    <s v="Male"/>
    <s v="Closed"/>
    <x v="2"/>
    <n v="2026"/>
    <n v="3"/>
    <s v="March"/>
    <s v="OK"/>
    <s v="Unique"/>
    <s v="Ready"/>
    <s v="Wadajir - Traffic Offense"/>
  </r>
  <r>
    <s v="CRM00077"/>
    <d v="2026-05-01T00:00:00"/>
    <s v="Traffic Offense"/>
    <s v="Hodan"/>
    <s v="Male"/>
    <s v="Closed"/>
    <x v="0"/>
    <n v="2026"/>
    <n v="5"/>
    <s v="May"/>
    <s v="OK"/>
    <s v="Unique"/>
    <s v="Ready"/>
    <s v="Hodan - Fraud"/>
  </r>
  <r>
    <s v="CRM00076"/>
    <d v="2025-11-30T00:00:00"/>
    <s v="Theft"/>
    <s v="Yaqshid"/>
    <s v="Female"/>
    <s v="Referred"/>
    <x v="1"/>
    <n v="2025"/>
    <n v="11"/>
    <s v="November"/>
    <s v="OK"/>
    <s v="Unique"/>
    <s v="Ready"/>
    <s v="Hodan - Theft"/>
  </r>
  <r>
    <s v="CRM00075"/>
    <d v="2025-12-11T00:00:00"/>
    <s v="Theft"/>
    <s v="Hodan"/>
    <s v="Female"/>
    <s v="Open"/>
    <x v="1"/>
    <n v="2025"/>
    <n v="12"/>
    <s v="December"/>
    <s v="OK"/>
    <s v="Unique"/>
    <s v="Ready"/>
    <s v="Daynile - Traffic Offense"/>
  </r>
  <r>
    <s v="CRM00074"/>
    <d v="2025-09-24T00:00:00"/>
    <s v="Theft"/>
    <s v="Hodan"/>
    <s v="Female"/>
    <s v="Under Investigation"/>
    <x v="1"/>
    <n v="2025"/>
    <n v="9"/>
    <s v="September"/>
    <s v="OK"/>
    <s v="Unique"/>
    <s v="Ready"/>
    <s v="Wadajir - Fraud"/>
  </r>
  <r>
    <s v="CRM00073"/>
    <d v="2025-11-13T00:00:00"/>
    <s v="Traffic Offense"/>
    <s v="Yaqshid"/>
    <s v="Female"/>
    <s v="Under Investigation"/>
    <x v="2"/>
    <n v="2025"/>
    <n v="11"/>
    <s v="November"/>
    <s v="OK"/>
    <s v="Unique"/>
    <s v="Ready"/>
    <s v="Waberi - Theft"/>
  </r>
  <r>
    <s v="CRM00072"/>
    <d v="2025-02-06T00:00:00"/>
    <s v="Fraud"/>
    <s v="Yaqshid"/>
    <s v="Female"/>
    <s v="Referred"/>
    <x v="1"/>
    <n v="2025"/>
    <n v="2"/>
    <s v="February"/>
    <s v="OK"/>
    <s v="Unique"/>
    <s v="Ready"/>
    <s v="Daynile - Assault"/>
  </r>
  <r>
    <s v="CRM00071"/>
    <d v="2026-07-20T00:00:00"/>
    <s v="Traffic Offense"/>
    <s v="Daynile"/>
    <s v="Male"/>
    <s v="Closed"/>
    <x v="2"/>
    <n v="2026"/>
    <n v="7"/>
    <s v="July"/>
    <s v="OK"/>
    <s v="Unique"/>
    <s v="Ready"/>
    <s v="Hodan - Robbery"/>
  </r>
  <r>
    <s v="CRM00070"/>
    <d v="2026-01-22T00:00:00"/>
    <s v="Robbery"/>
    <s v="Hodan"/>
    <s v="Male"/>
    <s v="Closed"/>
    <x v="0"/>
    <n v="2026"/>
    <n v="1"/>
    <s v="January"/>
    <s v="OK"/>
    <s v="Unique"/>
    <s v="Ready"/>
    <s v="Hodan - Robbery"/>
  </r>
  <r>
    <s v="CRM00068"/>
    <d v="2025-08-20T00:00:00"/>
    <s v="Theft"/>
    <s v="Yaqshid"/>
    <s v="Female"/>
    <s v="Closed"/>
    <x v="1"/>
    <n v="2025"/>
    <n v="8"/>
    <s v="August"/>
    <s v="OK"/>
    <s v="Unique"/>
    <s v="Ready"/>
    <s v="Wadajir - Burglary"/>
  </r>
  <r>
    <s v="CRM00067"/>
    <d v="2025-11-27T00:00:00"/>
    <s v="Theft"/>
    <s v="Hodan"/>
    <s v="Male"/>
    <s v="Closed"/>
    <x v="1"/>
    <n v="2025"/>
    <n v="11"/>
    <s v="November"/>
    <s v="OK"/>
    <s v="Unique"/>
    <s v="Ready"/>
    <s v="Hodan - Theft"/>
  </r>
  <r>
    <s v="CRM00066"/>
    <d v="2025-06-14T00:00:00"/>
    <s v="Burglary"/>
    <s v="Wadajir"/>
    <s v="Female"/>
    <s v="Under Investigation"/>
    <x v="1"/>
    <n v="2025"/>
    <n v="6"/>
    <s v="June"/>
    <s v="OK"/>
    <s v="Unique"/>
    <s v="Ready"/>
    <s v="Hodan - Fraud"/>
  </r>
  <r>
    <s v="CRM00065"/>
    <d v="2025-03-07T00:00:00"/>
    <s v="Fraud"/>
    <s v="Yaqshid"/>
    <s v="Male"/>
    <s v="Closed"/>
    <x v="1"/>
    <n v="2025"/>
    <n v="3"/>
    <s v="March"/>
    <s v="OK"/>
    <s v="Unique"/>
    <s v="Ready"/>
    <s v="Yaqshid - Assault"/>
  </r>
  <r>
    <s v="CRM00064"/>
    <d v="2025-08-16T00:00:00"/>
    <s v="Robbery"/>
    <s v="Karan"/>
    <s v="Male"/>
    <s v="Open"/>
    <x v="1"/>
    <n v="2025"/>
    <n v="8"/>
    <s v="August"/>
    <s v="OK"/>
    <s v="Unique"/>
    <s v="Ready"/>
    <s v="Daynile - Traffic Offense"/>
  </r>
  <r>
    <s v="CRM00063"/>
    <d v="2025-07-29T00:00:00"/>
    <s v="Burglary"/>
    <s v="Yaqshid"/>
    <s v="Female"/>
    <s v="Closed"/>
    <x v="1"/>
    <n v="2025"/>
    <n v="7"/>
    <s v="July"/>
    <s v="OK"/>
    <s v="Unique"/>
    <s v="Ready"/>
    <s v="Hodan - Traffic Offense"/>
  </r>
  <r>
    <s v="CRM00062"/>
    <d v="2026-07-03T00:00:00"/>
    <s v="Fraud"/>
    <s v="Hodan"/>
    <s v="Male"/>
    <s v="Referred"/>
    <x v="1"/>
    <n v="2026"/>
    <n v="7"/>
    <s v="July"/>
    <s v="OK"/>
    <s v="Unique"/>
    <s v="Ready"/>
    <s v="Karan - Robbery"/>
  </r>
  <r>
    <s v="CRM00061"/>
    <d v="2025-04-14T00:00:00"/>
    <s v="Theft"/>
    <s v="Wadajir"/>
    <s v="Male"/>
    <s v="Open"/>
    <x v="1"/>
    <n v="2025"/>
    <n v="4"/>
    <s v="April"/>
    <s v="OK"/>
    <s v="Unique"/>
    <s v="Ready"/>
    <s v="Wadajir - Traffic Offense"/>
  </r>
  <r>
    <s v="CRM00060"/>
    <d v="2026-01-29T00:00:00"/>
    <s v="Fraud"/>
    <s v="Wadajir"/>
    <s v="Female"/>
    <s v="Under Investigation"/>
    <x v="0"/>
    <n v="2026"/>
    <n v="1"/>
    <s v="January"/>
    <s v="OK"/>
    <s v="Unique"/>
    <s v="Ready"/>
    <s v="Hodan - Theft"/>
  </r>
  <r>
    <s v="CRM00059"/>
    <d v="2025-02-22T00:00:00"/>
    <s v="Theft"/>
    <s v="Wadajir"/>
    <s v="Unknown"/>
    <s v="Open"/>
    <x v="1"/>
    <n v="2025"/>
    <n v="2"/>
    <s v="February"/>
    <s v="Needs Review"/>
    <s v="Unique"/>
    <s v="Review"/>
    <s v="Hodan - Traffic Offense"/>
  </r>
  <r>
    <s v="CRM00058"/>
    <d v="2025-03-30T00:00:00"/>
    <s v="Theft"/>
    <s v="Hodan"/>
    <s v="Unknown"/>
    <s v="Closed"/>
    <x v="1"/>
    <n v="2025"/>
    <n v="3"/>
    <s v="March"/>
    <s v="Needs Review"/>
    <s v="Unique"/>
    <s v="Review"/>
    <s v="Hodan - Fraud"/>
  </r>
  <r>
    <s v="CRM00057"/>
    <d v="2025-01-24T00:00:00"/>
    <s v="Traffic Offense"/>
    <s v="Waberi"/>
    <s v="Female"/>
    <s v="Under Investigation"/>
    <x v="2"/>
    <n v="2025"/>
    <n v="1"/>
    <s v="January"/>
    <s v="OK"/>
    <s v="Unique"/>
    <s v="Ready"/>
    <s v="Waberi - Burglary"/>
  </r>
  <r>
    <s v="CRM00055"/>
    <d v="2025-09-08T00:00:00"/>
    <s v="Traffic Offense"/>
    <s v="Waberi"/>
    <s v="Male"/>
    <s v="Under Investigation"/>
    <x v="2"/>
    <n v="2025"/>
    <n v="9"/>
    <s v="September"/>
    <s v="OK"/>
    <s v="Unique"/>
    <s v="Ready"/>
    <s v="Yaqshid - Assault"/>
  </r>
  <r>
    <s v="CRM00054"/>
    <d v="2025-07-11T00:00:00"/>
    <s v="Theft"/>
    <s v="Karan"/>
    <s v="Male"/>
    <s v="Closed"/>
    <x v="2"/>
    <n v="2025"/>
    <n v="7"/>
    <s v="July"/>
    <s v="OK"/>
    <s v="Unique"/>
    <s v="Ready"/>
    <s v="Waberi - Assault"/>
  </r>
  <r>
    <s v="CRM00053"/>
    <d v="2026-07-12T00:00:00"/>
    <s v="Robbery"/>
    <s v="Waberi"/>
    <s v="Female"/>
    <s v="Closed"/>
    <x v="0"/>
    <n v="2026"/>
    <n v="7"/>
    <s v="July"/>
    <s v="OK"/>
    <s v="Unique"/>
    <s v="Ready"/>
    <s v="Waberi - Theft"/>
  </r>
  <r>
    <s v="CRM00052"/>
    <d v="2025-02-03T00:00:00"/>
    <s v="Robbery"/>
    <s v="Wadajir"/>
    <s v="Female"/>
    <s v="Under Investigation"/>
    <x v="1"/>
    <n v="2025"/>
    <n v="2"/>
    <s v="February"/>
    <s v="OK"/>
    <s v="Unique"/>
    <s v="Ready"/>
    <s v="Hodan - Assault"/>
  </r>
  <r>
    <s v="CRM00051"/>
    <d v="2025-09-21T00:00:00"/>
    <s v="Assault"/>
    <s v="Daynile"/>
    <s v="Female"/>
    <s v="Under Investigation"/>
    <x v="0"/>
    <n v="2025"/>
    <n v="9"/>
    <s v="September"/>
    <s v="OK"/>
    <s v="Unique"/>
    <s v="Ready"/>
    <s v="Wadajir - Traffic Offense"/>
  </r>
  <r>
    <s v="CRM00050"/>
    <d v="2026-07-27T00:00:00"/>
    <s v="Fraud"/>
    <s v="Yaqshid"/>
    <s v="Male"/>
    <s v="Closed"/>
    <x v="1"/>
    <n v="2026"/>
    <n v="7"/>
    <s v="July"/>
    <s v="OK"/>
    <s v="Unique"/>
    <s v="Ready"/>
    <s v="Karan - Assault"/>
  </r>
  <r>
    <s v="CRM00049"/>
    <d v="2026-07-05T00:00:00"/>
    <s v="Burglary"/>
    <s v="Yaqshid"/>
    <s v="Unknown"/>
    <s v="Under Investigation"/>
    <x v="1"/>
    <n v="2026"/>
    <n v="7"/>
    <s v="July"/>
    <s v="Needs Review"/>
    <s v="Unique"/>
    <s v="Review"/>
    <s v="Yaqshid - Theft"/>
  </r>
  <r>
    <s v="CRM00048"/>
    <d v="2026-07-12T00:00:00"/>
    <s v="Theft"/>
    <s v="Wadajir"/>
    <s v="Female"/>
    <s v="Under Investigation"/>
    <x v="1"/>
    <n v="2026"/>
    <n v="7"/>
    <s v="July"/>
    <s v="OK"/>
    <s v="Unique"/>
    <s v="Ready"/>
    <s v="Hodan - Fraud"/>
  </r>
  <r>
    <s v="CRM00047"/>
    <d v="2025-12-17T00:00:00"/>
    <s v="Assault"/>
    <s v="Hodan"/>
    <s v="Female"/>
    <s v="Under Investigation"/>
    <x v="0"/>
    <n v="2025"/>
    <n v="12"/>
    <s v="December"/>
    <s v="OK"/>
    <s v="Unique"/>
    <s v="Ready"/>
    <s v="Hodan - Burglary"/>
  </r>
  <r>
    <s v="CRM00046"/>
    <d v="2025-12-25T00:00:00"/>
    <s v="Fraud"/>
    <s v="Wadajir"/>
    <s v="Unknown"/>
    <s v="Open"/>
    <x v="1"/>
    <n v="2025"/>
    <n v="12"/>
    <s v="December"/>
    <s v="Needs Review"/>
    <s v="Unique"/>
    <s v="Review"/>
    <s v="Wadajir - Theft"/>
  </r>
  <r>
    <s v="CRM00045"/>
    <d v="2025-09-22T00:00:00"/>
    <s v="Robbery"/>
    <s v="Hodan"/>
    <s v="Male"/>
    <s v="Closed"/>
    <x v="0"/>
    <n v="2025"/>
    <n v="9"/>
    <s v="September"/>
    <s v="OK"/>
    <s v="Unique"/>
    <s v="Ready"/>
    <s v="Wadajir - Theft"/>
  </r>
  <r>
    <s v="CRM00044"/>
    <d v="2026-07-15T00:00:00"/>
    <s v="Traffic Offense"/>
    <s v="Wadajir"/>
    <s v="Male"/>
    <s v="Open"/>
    <x v="2"/>
    <n v="2026"/>
    <n v="7"/>
    <s v="July"/>
    <s v="OK"/>
    <s v="Unique"/>
    <s v="Ready"/>
    <s v="Wadajir - Assault"/>
  </r>
  <r>
    <s v="CRM00043"/>
    <d v="2025-07-10T00:00:00"/>
    <s v="Robbery"/>
    <s v="Hodan"/>
    <s v="Female"/>
    <s v="Closed"/>
    <x v="0"/>
    <n v="2025"/>
    <n v="7"/>
    <s v="July"/>
    <s v="OK"/>
    <s v="Unique"/>
    <s v="Ready"/>
    <s v="Yaqshid - Robbery"/>
  </r>
  <r>
    <s v="CRM00042"/>
    <d v="2026-07-12T00:00:00"/>
    <s v="Fraud"/>
    <s v="Hodan"/>
    <s v="Female"/>
    <s v="Open"/>
    <x v="1"/>
    <n v="2026"/>
    <n v="7"/>
    <s v="July"/>
    <s v="OK"/>
    <s v="Unique"/>
    <s v="Ready"/>
    <s v="Hodan - Robbery"/>
  </r>
  <r>
    <s v="CRM00041"/>
    <d v="2026-01-30T00:00:00"/>
    <s v="Theft"/>
    <s v="Yaqshid"/>
    <s v="Female"/>
    <s v="Under Investigation"/>
    <x v="1"/>
    <n v="2026"/>
    <n v="1"/>
    <s v="January"/>
    <s v="OK"/>
    <s v="Unique"/>
    <s v="Ready"/>
    <s v="Wadajir - Fraud"/>
  </r>
  <r>
    <s v="CRM00040"/>
    <d v="2025-06-09T00:00:00"/>
    <s v="Theft"/>
    <s v="Karan"/>
    <s v="Male"/>
    <s v="Under Investigation"/>
    <x v="1"/>
    <n v="2025"/>
    <n v="6"/>
    <s v="June"/>
    <s v="OK"/>
    <s v="Unique"/>
    <s v="Ready"/>
    <s v="Yaqshid - Burglary"/>
  </r>
  <r>
    <s v="CRM00039"/>
    <d v="2026-07-19T00:00:00"/>
    <s v="Fraud"/>
    <s v="Hodan"/>
    <s v="Male"/>
    <s v="Under Investigation"/>
    <x v="1"/>
    <n v="2026"/>
    <n v="7"/>
    <s v="July"/>
    <s v="OK"/>
    <s v="Unique"/>
    <s v="Ready"/>
    <s v="Wadajir - Assault"/>
  </r>
  <r>
    <s v="CRM00038"/>
    <d v="2026-04-12T00:00:00"/>
    <s v="Theft"/>
    <s v="Hodan"/>
    <s v="Male"/>
    <s v="Closed"/>
    <x v="1"/>
    <n v="2026"/>
    <n v="4"/>
    <s v="April"/>
    <s v="OK"/>
    <s v="Unique"/>
    <s v="Ready"/>
    <s v="Daynile - Fraud"/>
  </r>
  <r>
    <s v="CRM00037"/>
    <d v="2026-07-12T00:00:00"/>
    <s v="Traffic Offense"/>
    <s v="Waberi"/>
    <s v="Male"/>
    <s v="Open"/>
    <x v="2"/>
    <n v="2026"/>
    <n v="7"/>
    <s v="July"/>
    <s v="OK"/>
    <s v="Unique"/>
    <s v="Ready"/>
    <s v="Daynile - Theft"/>
  </r>
  <r>
    <s v="CRM00036"/>
    <d v="2026-07-12T00:00:00"/>
    <s v="Robbery"/>
    <s v="Hodan"/>
    <s v="Male"/>
    <s v="Open"/>
    <x v="0"/>
    <n v="2026"/>
    <n v="7"/>
    <s v="July"/>
    <s v="OK"/>
    <s v="Unique"/>
    <s v="Ready"/>
    <s v="Yaqshid - Theft"/>
  </r>
  <r>
    <s v="CRM00035"/>
    <d v="2025-06-09T00:00:00"/>
    <s v="Traffic Offense"/>
    <s v="Karan"/>
    <s v="Male"/>
    <s v="Under Investigation"/>
    <x v="2"/>
    <n v="2025"/>
    <n v="6"/>
    <s v="June"/>
    <s v="OK"/>
    <s v="Unique"/>
    <s v="Ready"/>
    <s v="Yaqshid - Fraud"/>
  </r>
  <r>
    <s v="CRM00034"/>
    <d v="2026-04-06T00:00:00"/>
    <s v="Fraud"/>
    <s v="Hodan"/>
    <s v="Male"/>
    <s v="Under Investigation"/>
    <x v="1"/>
    <n v="2026"/>
    <n v="4"/>
    <s v="April"/>
    <s v="OK"/>
    <s v="Unique"/>
    <s v="Ready"/>
    <s v="Hodan - Theft"/>
  </r>
  <r>
    <s v="CRM00033"/>
    <d v="2026-02-28T00:00:00"/>
    <s v="Robbery"/>
    <s v="Wadajir"/>
    <s v="Female"/>
    <s v="Under Investigation"/>
    <x v="0"/>
    <n v="2026"/>
    <n v="2"/>
    <s v="February"/>
    <s v="OK"/>
    <s v="Unique"/>
    <s v="Ready"/>
    <s v="Karan - Theft"/>
  </r>
  <r>
    <s v="CRM00032"/>
    <d v="2025-08-28T00:00:00"/>
    <s v="Fraud"/>
    <s v="Wadajir"/>
    <s v="Male"/>
    <s v="Open"/>
    <x v="1"/>
    <n v="2025"/>
    <n v="8"/>
    <s v="August"/>
    <s v="OK"/>
    <s v="Unique"/>
    <s v="Ready"/>
    <s v="Karan - Traffic Offense"/>
  </r>
  <r>
    <s v="CRM00031"/>
    <d v="2025-02-25T00:00:00"/>
    <s v="Fraud"/>
    <s v="Hodan"/>
    <s v="Unknown"/>
    <s v="Open"/>
    <x v="1"/>
    <n v="2025"/>
    <n v="2"/>
    <s v="February"/>
    <s v="Needs Review"/>
    <s v="Unique"/>
    <s v="Review"/>
    <s v="Yaqshid - Traffic Offense"/>
  </r>
  <r>
    <s v="CRM00029"/>
    <d v="2025-08-10T00:00:00"/>
    <s v="Fraud"/>
    <s v="Yaqshid"/>
    <s v="Male"/>
    <s v="Referred"/>
    <x v="1"/>
    <n v="2025"/>
    <n v="8"/>
    <s v="August"/>
    <s v="OK"/>
    <s v="Unique"/>
    <s v="Ready"/>
    <s v="Wadajir - Fraud"/>
  </r>
  <r>
    <s v="CRM00028"/>
    <d v="2025-02-14T00:00:00"/>
    <s v="Fraud"/>
    <s v="Yaqshid"/>
    <s v="Male"/>
    <s v="Under Investigation"/>
    <x v="1"/>
    <n v="2025"/>
    <n v="2"/>
    <s v="February"/>
    <s v="OK"/>
    <s v="Unique"/>
    <s v="Ready"/>
    <s v="Daynile - Traffic Offense"/>
  </r>
  <r>
    <s v="CRM00027"/>
    <d v="2025-03-17T00:00:00"/>
    <s v="Assault"/>
    <s v="Hodan"/>
    <s v="Male"/>
    <s v="Under Investigation"/>
    <x v="0"/>
    <n v="2025"/>
    <n v="3"/>
    <s v="March"/>
    <s v="OK"/>
    <s v="Unique"/>
    <s v="Ready"/>
    <s v="Wadajir - Robbery"/>
  </r>
  <r>
    <s v="CRM00026"/>
    <d v="2025-05-05T00:00:00"/>
    <s v="Theft"/>
    <s v="Hodan"/>
    <s v="Male"/>
    <s v="Closed"/>
    <x v="1"/>
    <n v="2025"/>
    <n v="5"/>
    <s v="May"/>
    <s v="OK"/>
    <s v="Unique"/>
    <s v="Ready"/>
    <s v="Daynile - Assault"/>
  </r>
  <r>
    <s v="CRM00025"/>
    <d v="2025-04-27T00:00:00"/>
    <s v="Assault"/>
    <s v="Hodan"/>
    <s v="Male"/>
    <s v="Closed"/>
    <x v="0"/>
    <n v="2025"/>
    <n v="4"/>
    <s v="April"/>
    <s v="OK"/>
    <s v="Unique"/>
    <s v="Ready"/>
    <s v="Yaqshid - Assault"/>
  </r>
  <r>
    <s v="CRM00024"/>
    <d v="2026-01-30T00:00:00"/>
    <s v="Robbery"/>
    <s v="Waberi"/>
    <s v="Female"/>
    <s v="Under Investigation"/>
    <x v="0"/>
    <n v="2026"/>
    <n v="1"/>
    <s v="January"/>
    <s v="OK"/>
    <s v="Unique"/>
    <s v="Ready"/>
    <s v="Yaqshid - Fraud"/>
  </r>
  <r>
    <s v="CRM00023"/>
    <d v="2025-02-23T00:00:00"/>
    <s v="Robbery"/>
    <s v="Wadajir"/>
    <s v="Male"/>
    <s v="Closed"/>
    <x v="0"/>
    <n v="2025"/>
    <n v="2"/>
    <s v="February"/>
    <s v="OK"/>
    <s v="Unique"/>
    <s v="Ready"/>
    <s v="Wadajir - Assault"/>
  </r>
  <r>
    <s v="CRM00022"/>
    <d v="2026-06-13T00:00:00"/>
    <s v="Traffic Offense"/>
    <s v="Waberi"/>
    <s v="Male"/>
    <s v="Referred"/>
    <x v="2"/>
    <n v="2026"/>
    <n v="6"/>
    <s v="June"/>
    <s v="OK"/>
    <s v="Unique"/>
    <s v="Ready"/>
    <s v="Yaqshid - Fraud"/>
  </r>
  <r>
    <s v="CRM00021"/>
    <d v="2025-11-10T00:00:00"/>
    <s v="Traffic Offense"/>
    <s v="Daynile"/>
    <s v="Male"/>
    <s v="Closed"/>
    <x v="2"/>
    <n v="2025"/>
    <n v="11"/>
    <s v="November"/>
    <s v="OK"/>
    <s v="Unique"/>
    <s v="Ready"/>
    <s v="Yaqshid - Burglary"/>
  </r>
  <r>
    <s v="CRM00020"/>
    <d v="2026-03-03T00:00:00"/>
    <s v="Assault"/>
    <s v="Hodan"/>
    <s v="Male"/>
    <s v="Open"/>
    <x v="0"/>
    <n v="2026"/>
    <n v="3"/>
    <s v="March"/>
    <s v="OK"/>
    <s v="Unique"/>
    <s v="Ready"/>
    <s v="Waberi - Traffic Offense"/>
  </r>
  <r>
    <s v="CRM00019"/>
    <d v="2026-03-07T00:00:00"/>
    <s v="Fraud"/>
    <s v="Yaqshid"/>
    <s v="Male"/>
    <s v="Referred"/>
    <x v="1"/>
    <n v="2026"/>
    <n v="3"/>
    <s v="March"/>
    <s v="OK"/>
    <s v="Unique"/>
    <s v="Ready"/>
    <s v="Karan - Traffic Offense"/>
  </r>
  <r>
    <s v="CRM00018"/>
    <d v="2025-06-08T00:00:00"/>
    <s v="Robbery"/>
    <s v="Yaqshid"/>
    <s v="Male"/>
    <s v="Under Investigation"/>
    <x v="0"/>
    <n v="2025"/>
    <n v="6"/>
    <s v="June"/>
    <s v="OK"/>
    <s v="Unique"/>
    <s v="Ready"/>
    <s v="Wadajir - Theft"/>
  </r>
  <r>
    <s v="CRM00017"/>
    <d v="2025-10-02T00:00:00"/>
    <s v="Theft"/>
    <s v="Waberi"/>
    <s v="Male"/>
    <s v="Under Investigation"/>
    <x v="1"/>
    <n v="2025"/>
    <n v="10"/>
    <s v="October"/>
    <s v="OK"/>
    <s v="Unique"/>
    <s v="Ready"/>
    <s v="Wadajir - Robbery"/>
  </r>
  <r>
    <s v="CRM00016"/>
    <d v="2025-05-05T00:00:00"/>
    <s v="Robbery"/>
    <s v="Waberi"/>
    <s v="Male"/>
    <s v="Under Investigation"/>
    <x v="0"/>
    <n v="2025"/>
    <n v="5"/>
    <s v="May"/>
    <s v="OK"/>
    <s v="Unique"/>
    <s v="Ready"/>
    <s v="Waberi - Traffic Offense"/>
  </r>
  <r>
    <s v="CRM00015"/>
    <d v="2025-07-20T00:00:00"/>
    <s v="Fraud"/>
    <s v="Yaqshid"/>
    <s v="Male"/>
    <s v="Open"/>
    <x v="1"/>
    <n v="2025"/>
    <n v="7"/>
    <s v="July"/>
    <s v="OK"/>
    <s v="Unique"/>
    <s v="Ready"/>
    <s v="Yaqshid - Theft"/>
  </r>
  <r>
    <s v="CRM00014"/>
    <d v="2026-06-30T00:00:00"/>
    <s v="Assault"/>
    <s v="Yaqshid"/>
    <s v="Unknown"/>
    <s v="Closed"/>
    <x v="0"/>
    <n v="2026"/>
    <n v="6"/>
    <s v="June"/>
    <s v="Needs Review"/>
    <s v="Unique"/>
    <s v="Review"/>
    <s v="Wadajir - Robbery"/>
  </r>
  <r>
    <s v="CRM00013"/>
    <d v="2025-09-01T00:00:00"/>
    <s v="Theft"/>
    <s v="Daynile"/>
    <s v="Female"/>
    <s v="Referred"/>
    <x v="1"/>
    <n v="2025"/>
    <n v="9"/>
    <s v="September"/>
    <s v="OK"/>
    <s v="Unique"/>
    <s v="Ready"/>
    <s v="Hodan - Traffic Offense"/>
  </r>
  <r>
    <s v="CRM00012"/>
    <d v="2025-08-03T00:00:00"/>
    <s v="Fraud"/>
    <s v="Daynile"/>
    <s v="Female"/>
    <s v="Open"/>
    <x v="1"/>
    <n v="2025"/>
    <n v="8"/>
    <s v="August"/>
    <s v="OK"/>
    <s v="Unique"/>
    <s v="Ready"/>
    <s v="Yaqshid - Fraud"/>
  </r>
  <r>
    <s v="CRM00011"/>
    <d v="2026-07-28T00:00:00"/>
    <s v="Robbery"/>
    <s v="Waberi"/>
    <s v="Unknown"/>
    <s v="Open"/>
    <x v="0"/>
    <n v="2026"/>
    <n v="7"/>
    <s v="July"/>
    <s v="Needs Review"/>
    <s v="Unique"/>
    <s v="Review"/>
    <s v="Wadajir - Assault"/>
  </r>
  <r>
    <s v="CRM00010"/>
    <d v="2025-11-06T00:00:00"/>
    <s v="Assault"/>
    <s v="Hodan"/>
    <s v="Male"/>
    <s v="Under Investigation"/>
    <x v="0"/>
    <n v="2025"/>
    <n v="11"/>
    <s v="November"/>
    <s v="OK"/>
    <s v="Unique"/>
    <s v="Ready"/>
    <s v="Hodan - Burglary"/>
  </r>
  <r>
    <s v="CRM00009"/>
    <d v="2026-07-25T00:00:00"/>
    <s v="Fraud"/>
    <s v="Hodan"/>
    <s v="Female"/>
    <s v="Open"/>
    <x v="1"/>
    <n v="2026"/>
    <n v="7"/>
    <s v="July"/>
    <s v="OK"/>
    <s v="Unique"/>
    <s v="Ready"/>
    <s v="Yaqshid - Robbery"/>
  </r>
  <r>
    <s v="CRM00008"/>
    <d v="2025-04-07T00:00:00"/>
    <s v="Theft"/>
    <s v="Hodan"/>
    <s v="Unknown"/>
    <s v="Under Investigation"/>
    <x v="1"/>
    <n v="2025"/>
    <n v="4"/>
    <s v="April"/>
    <s v="Needs Review"/>
    <s v="Unique"/>
    <s v="Review"/>
    <s v="Hodan - Theft"/>
  </r>
  <r>
    <s v="CRM00007"/>
    <d v="2025-07-18T00:00:00"/>
    <s v="Fraud"/>
    <s v="Yaqshid"/>
    <s v="Female"/>
    <s v="Closed"/>
    <x v="1"/>
    <n v="2025"/>
    <n v="7"/>
    <s v="July"/>
    <s v="OK"/>
    <s v="Unique"/>
    <s v="Ready"/>
    <s v="Daynile - Fraud"/>
  </r>
  <r>
    <s v="CRM00006"/>
    <d v="2025-11-27T00:00:00"/>
    <s v="Theft"/>
    <s v="Waberi"/>
    <s v="Female"/>
    <s v="Open"/>
    <x v="1"/>
    <n v="2025"/>
    <n v="11"/>
    <s v="November"/>
    <s v="OK"/>
    <s v="Unique"/>
    <s v="Ready"/>
    <s v="Yaqshid - Fraud"/>
  </r>
  <r>
    <s v="CRM00005"/>
    <d v="2025-09-26T00:00:00"/>
    <s v="Assault"/>
    <s v="Hodan"/>
    <s v="Male"/>
    <s v="Open"/>
    <x v="0"/>
    <n v="2025"/>
    <n v="9"/>
    <s v="September"/>
    <s v="OK"/>
    <s v="Unique"/>
    <s v="Ready"/>
    <s v="Hodan - Robbery"/>
  </r>
  <r>
    <s v="CRM00004"/>
    <d v="2026-07-07T00:00:00"/>
    <s v="Theft"/>
    <s v="Karan"/>
    <s v="Male"/>
    <s v="Open"/>
    <x v="1"/>
    <n v="2026"/>
    <n v="7"/>
    <s v="July"/>
    <s v="OK"/>
    <s v="Unique"/>
    <s v="Ready"/>
    <s v="Hodan - Fraud"/>
  </r>
  <r>
    <s v="CRM00003"/>
    <d v="2025-05-20T00:00:00"/>
    <s v="Burglary"/>
    <s v="Waberi"/>
    <s v="Male"/>
    <s v="Open"/>
    <x v="1"/>
    <n v="2025"/>
    <n v="5"/>
    <s v="May"/>
    <s v="OK"/>
    <s v="Unique"/>
    <s v="Ready"/>
    <s v="Hodan - Traffic Offense"/>
  </r>
  <r>
    <s v="CRM00002"/>
    <d v="2025-10-02T00:00:00"/>
    <s v="Assault"/>
    <s v="Wadajir"/>
    <s v="Female"/>
    <s v="Open"/>
    <x v="0"/>
    <n v="2025"/>
    <n v="10"/>
    <s v="October"/>
    <s v="OK"/>
    <s v="Unique"/>
    <s v="Ready"/>
    <s v="Wadajir - Theft"/>
  </r>
  <r>
    <s v="CRM00001"/>
    <d v="2025-07-10T00:00:00"/>
    <s v="Fraud"/>
    <s v="Hodan"/>
    <s v="Male"/>
    <s v="Under Investigation"/>
    <x v="1"/>
    <n v="2025"/>
    <n v="7"/>
    <s v="July"/>
    <s v="OK"/>
    <s v="Unique"/>
    <s v="Ready"/>
    <s v="Hodan - Theft"/>
  </r>
  <r>
    <m/>
    <m/>
    <s v="Traffic Offense"/>
    <s v="Hodan"/>
    <s v="Female"/>
    <s v="Open"/>
    <x v="0"/>
    <s v=""/>
    <s v=""/>
    <s v=""/>
    <s v="Needs Review"/>
    <s v="Unique"/>
    <s v="Review"/>
    <s v="Hodan - Traffic Offense"/>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x v="0"/>
    <x v="0"/>
    <x v="0"/>
    <s v="Open"/>
    <s v="High"/>
    <x v="0"/>
    <x v="0"/>
    <x v="0"/>
    <s v="OK"/>
    <s v="Unique"/>
    <s v="Ready"/>
    <s v="Hodan - Traffic Offense"/>
  </r>
  <r>
    <x v="1"/>
    <x v="1"/>
    <x v="1"/>
    <x v="1"/>
    <x v="1"/>
    <s v="Closed"/>
    <s v="High"/>
    <x v="1"/>
    <x v="1"/>
    <x v="1"/>
    <s v="Needs Review"/>
    <s v="Unique"/>
    <s v="Review"/>
    <s v="Karan - Assault"/>
  </r>
  <r>
    <x v="2"/>
    <x v="2"/>
    <x v="1"/>
    <x v="2"/>
    <x v="0"/>
    <s v="Open"/>
    <s v="High"/>
    <x v="1"/>
    <x v="2"/>
    <x v="2"/>
    <s v="OK"/>
    <s v="Unique"/>
    <s v="Ready"/>
    <s v="Hodan - Burglary"/>
  </r>
  <r>
    <x v="3"/>
    <x v="3"/>
    <x v="0"/>
    <x v="3"/>
    <x v="2"/>
    <s v="Referred"/>
    <s v="High"/>
    <x v="1"/>
    <x v="1"/>
    <x v="1"/>
    <s v="OK"/>
    <s v="Unique"/>
    <s v="Ready"/>
    <s v="Hodan - Fraud"/>
  </r>
  <r>
    <x v="4"/>
    <x v="4"/>
    <x v="0"/>
    <x v="2"/>
    <x v="0"/>
    <s v="Under Investigation"/>
    <s v="High"/>
    <x v="0"/>
    <x v="3"/>
    <x v="3"/>
    <s v="OK"/>
    <s v="Unique"/>
    <s v="Ready"/>
    <s v="Wadajir - Assault"/>
  </r>
  <r>
    <x v="5"/>
    <x v="5"/>
    <x v="1"/>
    <x v="2"/>
    <x v="0"/>
    <s v="Closed"/>
    <s v="High"/>
    <x v="0"/>
    <x v="3"/>
    <x v="3"/>
    <s v="OK"/>
    <s v="Unique"/>
    <s v="Ready"/>
    <s v="Hodan - Assault"/>
  </r>
  <r>
    <x v="6"/>
    <x v="6"/>
    <x v="2"/>
    <x v="4"/>
    <x v="0"/>
    <s v="Under Investigation"/>
    <s v="Medium"/>
    <x v="0"/>
    <x v="4"/>
    <x v="4"/>
    <s v="OK"/>
    <s v="Unique"/>
    <s v="Ready"/>
    <s v="Yaqshid - Theft"/>
  </r>
  <r>
    <x v="7"/>
    <x v="7"/>
    <x v="3"/>
    <x v="2"/>
    <x v="2"/>
    <s v="Closed"/>
    <s v="Low"/>
    <x v="1"/>
    <x v="0"/>
    <x v="0"/>
    <s v="OK"/>
    <s v="Unique"/>
    <s v="Ready"/>
    <s v="Yaqshid - Fraud"/>
  </r>
  <r>
    <x v="8"/>
    <x v="8"/>
    <x v="2"/>
    <x v="4"/>
    <x v="0"/>
    <s v="Open"/>
    <s v="Medium"/>
    <x v="0"/>
    <x v="0"/>
    <x v="0"/>
    <s v="OK"/>
    <s v="Unique"/>
    <s v="Ready"/>
    <s v="Waberi - Robbery"/>
  </r>
  <r>
    <x v="9"/>
    <x v="9"/>
    <x v="1"/>
    <x v="2"/>
    <x v="2"/>
    <s v="Under Investigation"/>
    <s v="High"/>
    <x v="0"/>
    <x v="5"/>
    <x v="5"/>
    <s v="OK"/>
    <s v="Unique"/>
    <s v="Ready"/>
    <s v="Hodan - Theft"/>
  </r>
  <r>
    <x v="10"/>
    <x v="10"/>
    <x v="4"/>
    <x v="0"/>
    <x v="2"/>
    <s v="Under Investigation"/>
    <s v="Medium"/>
    <x v="1"/>
    <x v="6"/>
    <x v="6"/>
    <s v="OK"/>
    <s v="Unique"/>
    <s v="Ready"/>
    <s v="Daynile - Traffic Offense"/>
  </r>
  <r>
    <x v="11"/>
    <x v="11"/>
    <x v="3"/>
    <x v="1"/>
    <x v="2"/>
    <s v="Open"/>
    <s v="Low"/>
    <x v="0"/>
    <x v="4"/>
    <x v="4"/>
    <s v="OK"/>
    <s v="Unique"/>
    <s v="Ready"/>
    <s v="Waberi - Robbery"/>
  </r>
  <r>
    <x v="12"/>
    <x v="12"/>
    <x v="2"/>
    <x v="4"/>
    <x v="0"/>
    <s v="Closed"/>
    <s v="Medium"/>
    <x v="0"/>
    <x v="3"/>
    <x v="3"/>
    <s v="OK"/>
    <s v="Unique"/>
    <s v="Ready"/>
    <s v="Hodan - Assault"/>
  </r>
  <r>
    <x v="13"/>
    <x v="13"/>
    <x v="5"/>
    <x v="5"/>
    <x v="0"/>
    <s v="Open"/>
    <s v="Medium"/>
    <x v="1"/>
    <x v="7"/>
    <x v="7"/>
    <s v="OK"/>
    <s v="Unique"/>
    <s v="Ready"/>
    <s v="Daynile - Traffic Offense"/>
  </r>
  <r>
    <x v="14"/>
    <x v="14"/>
    <x v="5"/>
    <x v="3"/>
    <x v="0"/>
    <s v="Closed"/>
    <s v="Medium"/>
    <x v="1"/>
    <x v="2"/>
    <x v="2"/>
    <s v="OK"/>
    <s v="Unique"/>
    <s v="Ready"/>
    <s v="Yaqshid - Fraud"/>
  </r>
  <r>
    <x v="15"/>
    <x v="15"/>
    <x v="1"/>
    <x v="4"/>
    <x v="0"/>
    <s v="Closed"/>
    <s v="High"/>
    <x v="1"/>
    <x v="8"/>
    <x v="8"/>
    <s v="OK"/>
    <s v="Unique"/>
    <s v="Ready"/>
    <s v="Hodan - Assault"/>
  </r>
  <r>
    <x v="16"/>
    <x v="16"/>
    <x v="2"/>
    <x v="0"/>
    <x v="0"/>
    <s v="Under Investigation"/>
    <s v="Medium"/>
    <x v="0"/>
    <x v="1"/>
    <x v="1"/>
    <s v="OK"/>
    <s v="Unique"/>
    <s v="Ready"/>
    <s v="Yaqshid - Theft"/>
  </r>
  <r>
    <x v="17"/>
    <x v="17"/>
    <x v="4"/>
    <x v="1"/>
    <x v="0"/>
    <s v="Closed"/>
    <s v="Medium"/>
    <x v="1"/>
    <x v="5"/>
    <x v="5"/>
    <s v="OK"/>
    <s v="Unique"/>
    <s v="Ready"/>
    <s v="Hodan - Robbery"/>
  </r>
  <r>
    <x v="18"/>
    <x v="18"/>
    <x v="5"/>
    <x v="4"/>
    <x v="0"/>
    <s v="Open"/>
    <s v="Medium"/>
    <x v="0"/>
    <x v="5"/>
    <x v="5"/>
    <s v="OK"/>
    <s v="Unique"/>
    <s v="Ready"/>
    <s v="Karan - Theft"/>
  </r>
  <r>
    <x v="19"/>
    <x v="19"/>
    <x v="5"/>
    <x v="5"/>
    <x v="2"/>
    <s v="Closed"/>
    <s v="Medium"/>
    <x v="1"/>
    <x v="9"/>
    <x v="9"/>
    <s v="OK"/>
    <s v="Unique"/>
    <s v="Ready"/>
    <s v="Wadajir - Burglary"/>
  </r>
  <r>
    <x v="20"/>
    <x v="20"/>
    <x v="1"/>
    <x v="2"/>
    <x v="2"/>
    <s v="Under Investigation"/>
    <s v="High"/>
    <x v="1"/>
    <x v="10"/>
    <x v="10"/>
    <s v="OK"/>
    <s v="Unique"/>
    <s v="Ready"/>
    <s v="Karan - Theft"/>
  </r>
  <r>
    <x v="21"/>
    <x v="21"/>
    <x v="5"/>
    <x v="4"/>
    <x v="1"/>
    <s v="Closed"/>
    <s v="Medium"/>
    <x v="1"/>
    <x v="3"/>
    <x v="3"/>
    <s v="Needs Review"/>
    <s v="Unique"/>
    <s v="Review"/>
    <s v="Karan - Theft"/>
  </r>
  <r>
    <x v="22"/>
    <x v="22"/>
    <x v="0"/>
    <x v="2"/>
    <x v="1"/>
    <s v="Closed"/>
    <s v="High"/>
    <x v="1"/>
    <x v="11"/>
    <x v="11"/>
    <s v="Needs Review"/>
    <s v="Unique"/>
    <s v="Review"/>
    <s v="Yaqshid - Theft"/>
  </r>
  <r>
    <x v="23"/>
    <x v="23"/>
    <x v="1"/>
    <x v="3"/>
    <x v="1"/>
    <s v="Under Investigation"/>
    <s v="High"/>
    <x v="1"/>
    <x v="7"/>
    <x v="7"/>
    <s v="Needs Review"/>
    <s v="Unique"/>
    <s v="Review"/>
    <s v="Waberi - Assault"/>
  </r>
  <r>
    <x v="24"/>
    <x v="24"/>
    <x v="3"/>
    <x v="2"/>
    <x v="0"/>
    <s v="Closed"/>
    <s v="Low"/>
    <x v="1"/>
    <x v="7"/>
    <x v="7"/>
    <s v="OK"/>
    <s v="Unique"/>
    <s v="Ready"/>
    <s v="Yaqshid - Theft"/>
  </r>
  <r>
    <x v="25"/>
    <x v="25"/>
    <x v="0"/>
    <x v="1"/>
    <x v="0"/>
    <s v="Open"/>
    <s v="High"/>
    <x v="1"/>
    <x v="1"/>
    <x v="1"/>
    <s v="OK"/>
    <s v="Unique"/>
    <s v="Ready"/>
    <s v="Daynile - Assault"/>
  </r>
  <r>
    <x v="26"/>
    <x v="26"/>
    <x v="4"/>
    <x v="3"/>
    <x v="0"/>
    <s v="Under Investigation"/>
    <s v="Medium"/>
    <x v="1"/>
    <x v="8"/>
    <x v="8"/>
    <s v="OK"/>
    <s v="Unique"/>
    <s v="Ready"/>
    <s v="Waberi - Assault"/>
  </r>
  <r>
    <x v="27"/>
    <x v="27"/>
    <x v="2"/>
    <x v="4"/>
    <x v="2"/>
    <s v="Closed"/>
    <s v="Medium"/>
    <x v="1"/>
    <x v="0"/>
    <x v="0"/>
    <s v="OK"/>
    <s v="Unique"/>
    <s v="Ready"/>
    <s v="Daynile - Theft"/>
  </r>
  <r>
    <x v="28"/>
    <x v="28"/>
    <x v="4"/>
    <x v="5"/>
    <x v="0"/>
    <s v="Under Investigation"/>
    <s v="Medium"/>
    <x v="1"/>
    <x v="2"/>
    <x v="2"/>
    <s v="OK"/>
    <s v="Unique"/>
    <s v="Ready"/>
    <s v="Hodan - Theft"/>
  </r>
  <r>
    <x v="29"/>
    <x v="0"/>
    <x v="1"/>
    <x v="2"/>
    <x v="0"/>
    <s v="Closed"/>
    <s v="High"/>
    <x v="0"/>
    <x v="0"/>
    <x v="0"/>
    <s v="OK"/>
    <s v="Unique"/>
    <s v="Ready"/>
    <s v="Hodan - Assault"/>
  </r>
  <r>
    <x v="30"/>
    <x v="0"/>
    <x v="2"/>
    <x v="3"/>
    <x v="0"/>
    <s v="Closed"/>
    <s v="Medium"/>
    <x v="0"/>
    <x v="0"/>
    <x v="0"/>
    <s v="OK"/>
    <s v="Unique"/>
    <s v="Ready"/>
    <s v="Waberi - Robbery"/>
  </r>
  <r>
    <x v="31"/>
    <x v="29"/>
    <x v="2"/>
    <x v="1"/>
    <x v="0"/>
    <s v="Under Investigation"/>
    <s v="Medium"/>
    <x v="0"/>
    <x v="3"/>
    <x v="3"/>
    <s v="OK"/>
    <s v="Unique"/>
    <s v="Ready"/>
    <s v="Karan - Robbery"/>
  </r>
  <r>
    <x v="32"/>
    <x v="30"/>
    <x v="2"/>
    <x v="2"/>
    <x v="0"/>
    <s v="Closed"/>
    <s v="Medium"/>
    <x v="0"/>
    <x v="4"/>
    <x v="4"/>
    <s v="OK"/>
    <s v="Unique"/>
    <s v="Ready"/>
    <s v="Daynile - Theft"/>
  </r>
  <r>
    <x v="33"/>
    <x v="31"/>
    <x v="2"/>
    <x v="1"/>
    <x v="0"/>
    <s v="Closed"/>
    <s v="Medium"/>
    <x v="1"/>
    <x v="11"/>
    <x v="11"/>
    <s v="OK"/>
    <s v="Unique"/>
    <s v="Ready"/>
    <s v="Wadajir - Assault"/>
  </r>
  <r>
    <x v="34"/>
    <x v="26"/>
    <x v="2"/>
    <x v="5"/>
    <x v="0"/>
    <s v="Open"/>
    <s v="Medium"/>
    <x v="1"/>
    <x v="8"/>
    <x v="8"/>
    <s v="OK"/>
    <s v="Unique"/>
    <s v="Ready"/>
    <s v="Karan - Assault"/>
  </r>
  <r>
    <x v="35"/>
    <x v="32"/>
    <x v="0"/>
    <x v="1"/>
    <x v="1"/>
    <s v="Closed"/>
    <s v="Low"/>
    <x v="0"/>
    <x v="6"/>
    <x v="6"/>
    <s v="Needs Review"/>
    <s v="Unique"/>
    <s v="Review"/>
    <s v="Karan - Theft"/>
  </r>
  <r>
    <x v="36"/>
    <x v="0"/>
    <x v="0"/>
    <x v="5"/>
    <x v="0"/>
    <s v="Closed"/>
    <s v="High"/>
    <x v="0"/>
    <x v="0"/>
    <x v="0"/>
    <s v="OK"/>
    <s v="Unique"/>
    <s v="Ready"/>
    <s v="Hodan - Assault"/>
  </r>
  <r>
    <x v="37"/>
    <x v="33"/>
    <x v="2"/>
    <x v="4"/>
    <x v="2"/>
    <s v="Closed"/>
    <s v="Medium"/>
    <x v="0"/>
    <x v="5"/>
    <x v="5"/>
    <s v="OK"/>
    <s v="Unique"/>
    <s v="Ready"/>
    <s v="Hodan - Assault"/>
  </r>
  <r>
    <x v="38"/>
    <x v="34"/>
    <x v="1"/>
    <x v="4"/>
    <x v="0"/>
    <s v="Closed"/>
    <s v="High"/>
    <x v="1"/>
    <x v="7"/>
    <x v="7"/>
    <s v="OK"/>
    <s v="Unique"/>
    <s v="Ready"/>
    <s v="Waberi - Theft"/>
  </r>
  <r>
    <x v="39"/>
    <x v="35"/>
    <x v="0"/>
    <x v="5"/>
    <x v="0"/>
    <s v="Referred"/>
    <s v="High"/>
    <x v="0"/>
    <x v="3"/>
    <x v="3"/>
    <s v="OK"/>
    <s v="Unique"/>
    <s v="Ready"/>
    <s v="Hodan - Theft"/>
  </r>
  <r>
    <x v="40"/>
    <x v="0"/>
    <x v="0"/>
    <x v="1"/>
    <x v="1"/>
    <s v="Under Investigation"/>
    <s v="High"/>
    <x v="0"/>
    <x v="0"/>
    <x v="0"/>
    <s v="Needs Review"/>
    <s v="Unique"/>
    <s v="Review"/>
    <s v="Wadajir - Theft"/>
  </r>
  <r>
    <x v="41"/>
    <x v="36"/>
    <x v="5"/>
    <x v="1"/>
    <x v="0"/>
    <s v="Closed"/>
    <s v="Medium"/>
    <x v="1"/>
    <x v="4"/>
    <x v="4"/>
    <s v="OK"/>
    <s v="Unique"/>
    <s v="Ready"/>
    <s v="Hodan - Assault"/>
  </r>
  <r>
    <x v="42"/>
    <x v="37"/>
    <x v="5"/>
    <x v="4"/>
    <x v="0"/>
    <s v="Under Investigation"/>
    <s v="Medium"/>
    <x v="1"/>
    <x v="5"/>
    <x v="5"/>
    <s v="OK"/>
    <s v="Unique"/>
    <s v="Ready"/>
    <s v="Daynile - Robbery"/>
  </r>
  <r>
    <x v="43"/>
    <x v="38"/>
    <x v="4"/>
    <x v="1"/>
    <x v="0"/>
    <s v="Closed"/>
    <s v="Medium"/>
    <x v="1"/>
    <x v="6"/>
    <x v="6"/>
    <s v="OK"/>
    <s v="Unique"/>
    <s v="Ready"/>
    <s v="Karan - Burglary"/>
  </r>
  <r>
    <x v="44"/>
    <x v="39"/>
    <x v="4"/>
    <x v="1"/>
    <x v="2"/>
    <s v="Open"/>
    <s v="Medium"/>
    <x v="1"/>
    <x v="3"/>
    <x v="3"/>
    <s v="OK"/>
    <s v="Unique"/>
    <s v="Ready"/>
    <s v="Karan - Traffic Offense"/>
  </r>
  <r>
    <x v="45"/>
    <x v="40"/>
    <x v="0"/>
    <x v="4"/>
    <x v="2"/>
    <s v="Closed"/>
    <s v="Medium"/>
    <x v="0"/>
    <x v="3"/>
    <x v="3"/>
    <s v="OK"/>
    <s v="Unique"/>
    <s v="Ready"/>
    <s v="Hodan - Burglary"/>
  </r>
  <r>
    <x v="46"/>
    <x v="41"/>
    <x v="2"/>
    <x v="3"/>
    <x v="0"/>
    <s v="Referred"/>
    <s v="Medium"/>
    <x v="1"/>
    <x v="5"/>
    <x v="5"/>
    <s v="OK"/>
    <s v="Unique"/>
    <s v="Ready"/>
    <s v="Hodan - Fraud"/>
  </r>
  <r>
    <x v="47"/>
    <x v="42"/>
    <x v="2"/>
    <x v="0"/>
    <x v="0"/>
    <s v="Open"/>
    <s v="Medium"/>
    <x v="1"/>
    <x v="11"/>
    <x v="11"/>
    <s v="OK"/>
    <s v="Unique"/>
    <s v="Ready"/>
    <s v="Karan - Robbery"/>
  </r>
  <r>
    <x v="48"/>
    <x v="43"/>
    <x v="1"/>
    <x v="5"/>
    <x v="0"/>
    <s v="Under Investigation"/>
    <s v="High"/>
    <x v="0"/>
    <x v="1"/>
    <x v="1"/>
    <s v="OK"/>
    <s v="Unique"/>
    <s v="Ready"/>
    <s v="Daynile - Theft"/>
  </r>
  <r>
    <x v="49"/>
    <x v="0"/>
    <x v="0"/>
    <x v="4"/>
    <x v="0"/>
    <s v="Closed"/>
    <s v="High"/>
    <x v="0"/>
    <x v="0"/>
    <x v="0"/>
    <s v="OK"/>
    <s v="Unique"/>
    <s v="Ready"/>
    <s v="Hodan - Assault"/>
  </r>
  <r>
    <x v="50"/>
    <x v="44"/>
    <x v="2"/>
    <x v="4"/>
    <x v="0"/>
    <s v="Under Investigation"/>
    <s v="Medium"/>
    <x v="0"/>
    <x v="4"/>
    <x v="4"/>
    <s v="OK"/>
    <s v="Unique"/>
    <s v="Ready"/>
    <s v="Karan - Theft"/>
  </r>
  <r>
    <x v="51"/>
    <x v="0"/>
    <x v="2"/>
    <x v="0"/>
    <x v="0"/>
    <s v="Open"/>
    <s v="Medium"/>
    <x v="0"/>
    <x v="0"/>
    <x v="0"/>
    <s v="OK"/>
    <s v="Unique"/>
    <s v="Ready"/>
    <s v="Daynile - Fraud"/>
  </r>
  <r>
    <x v="52"/>
    <x v="45"/>
    <x v="5"/>
    <x v="4"/>
    <x v="0"/>
    <s v="Open"/>
    <s v="Medium"/>
    <x v="0"/>
    <x v="5"/>
    <x v="5"/>
    <s v="OK"/>
    <s v="Unique"/>
    <s v="Ready"/>
    <s v="Yaqshid - Traffic Offense"/>
  </r>
  <r>
    <x v="53"/>
    <x v="0"/>
    <x v="2"/>
    <x v="5"/>
    <x v="0"/>
    <s v="Open"/>
    <s v="High"/>
    <x v="0"/>
    <x v="0"/>
    <x v="0"/>
    <s v="OK"/>
    <s v="Unique"/>
    <s v="Ready"/>
    <s v="Wadajir - Robbery"/>
  </r>
  <r>
    <x v="54"/>
    <x v="46"/>
    <x v="5"/>
    <x v="1"/>
    <x v="2"/>
    <s v="Closed"/>
    <s v="Medium"/>
    <x v="0"/>
    <x v="3"/>
    <x v="3"/>
    <s v="OK"/>
    <s v="Unique"/>
    <s v="Ready"/>
    <s v="Wadajir - Robbery"/>
  </r>
  <r>
    <x v="55"/>
    <x v="47"/>
    <x v="0"/>
    <x v="1"/>
    <x v="1"/>
    <s v="Closed"/>
    <s v="High"/>
    <x v="0"/>
    <x v="6"/>
    <x v="6"/>
    <s v="Needs Review"/>
    <s v="Unique"/>
    <s v="Review"/>
    <s v="Karan - Burglary"/>
  </r>
  <r>
    <x v="56"/>
    <x v="48"/>
    <x v="1"/>
    <x v="1"/>
    <x v="2"/>
    <s v="Closed"/>
    <s v="High"/>
    <x v="0"/>
    <x v="5"/>
    <x v="5"/>
    <s v="OK"/>
    <s v="Unique"/>
    <s v="Ready"/>
    <s v="Daynile - Robbery"/>
  </r>
  <r>
    <x v="57"/>
    <x v="49"/>
    <x v="3"/>
    <x v="1"/>
    <x v="2"/>
    <s v="Closed"/>
    <s v="Low"/>
    <x v="1"/>
    <x v="3"/>
    <x v="3"/>
    <s v="OK"/>
    <s v="Unique"/>
    <s v="Ready"/>
    <s v="Daynile - Assault"/>
  </r>
  <r>
    <x v="58"/>
    <x v="12"/>
    <x v="0"/>
    <x v="2"/>
    <x v="0"/>
    <s v="Under Investigation"/>
    <s v="High"/>
    <x v="0"/>
    <x v="3"/>
    <x v="3"/>
    <s v="OK"/>
    <s v="Unique"/>
    <s v="Ready"/>
    <s v="Hodan - Theft"/>
  </r>
  <r>
    <x v="59"/>
    <x v="50"/>
    <x v="4"/>
    <x v="4"/>
    <x v="2"/>
    <s v="Under Investigation"/>
    <s v="Medium"/>
    <x v="1"/>
    <x v="0"/>
    <x v="0"/>
    <s v="OK"/>
    <s v="Unique"/>
    <s v="Ready"/>
    <s v="Waberi - Traffic Offense"/>
  </r>
  <r>
    <x v="60"/>
    <x v="51"/>
    <x v="1"/>
    <x v="3"/>
    <x v="0"/>
    <s v="Closed"/>
    <s v="High"/>
    <x v="1"/>
    <x v="6"/>
    <x v="6"/>
    <s v="OK"/>
    <s v="Unique"/>
    <s v="Ready"/>
    <s v="Wadajir - Burglary"/>
  </r>
  <r>
    <x v="61"/>
    <x v="52"/>
    <x v="2"/>
    <x v="4"/>
    <x v="0"/>
    <s v="Closed"/>
    <s v="Medium"/>
    <x v="1"/>
    <x v="6"/>
    <x v="6"/>
    <s v="OK"/>
    <s v="Unique"/>
    <s v="Ready"/>
    <s v="Hodan - Fraud"/>
  </r>
  <r>
    <x v="62"/>
    <x v="43"/>
    <x v="2"/>
    <x v="2"/>
    <x v="0"/>
    <s v="Open"/>
    <s v="Medium"/>
    <x v="0"/>
    <x v="1"/>
    <x v="1"/>
    <s v="OK"/>
    <s v="Unique"/>
    <s v="Ready"/>
    <s v="Karan - Fraud"/>
  </r>
  <r>
    <x v="63"/>
    <x v="53"/>
    <x v="0"/>
    <x v="1"/>
    <x v="2"/>
    <s v="Under Investigation"/>
    <s v="High"/>
    <x v="0"/>
    <x v="5"/>
    <x v="5"/>
    <s v="OK"/>
    <s v="Unique"/>
    <s v="Ready"/>
    <s v="Daynile - Assault"/>
  </r>
  <r>
    <x v="64"/>
    <x v="54"/>
    <x v="3"/>
    <x v="1"/>
    <x v="2"/>
    <s v="Under Investigation"/>
    <s v="High"/>
    <x v="1"/>
    <x v="10"/>
    <x v="10"/>
    <s v="OK"/>
    <s v="Unique"/>
    <s v="Ready"/>
    <s v="Wadajir - Theft"/>
  </r>
  <r>
    <x v="65"/>
    <x v="55"/>
    <x v="1"/>
    <x v="5"/>
    <x v="2"/>
    <s v="Closed"/>
    <s v="High"/>
    <x v="0"/>
    <x v="4"/>
    <x v="4"/>
    <s v="OK"/>
    <s v="Unique"/>
    <s v="Ready"/>
    <s v="Daynile - Fraud"/>
  </r>
  <r>
    <x v="66"/>
    <x v="56"/>
    <x v="2"/>
    <x v="4"/>
    <x v="2"/>
    <s v="Closed"/>
    <s v="Medium"/>
    <x v="0"/>
    <x v="10"/>
    <x v="10"/>
    <s v="OK"/>
    <s v="Unique"/>
    <s v="Ready"/>
    <s v="Hodan - Assault"/>
  </r>
  <r>
    <x v="67"/>
    <x v="57"/>
    <x v="3"/>
    <x v="0"/>
    <x v="0"/>
    <s v="Open"/>
    <s v="Low"/>
    <x v="1"/>
    <x v="6"/>
    <x v="6"/>
    <s v="OK"/>
    <s v="Unique"/>
    <s v="Ready"/>
    <s v="Hodan - Assault"/>
  </r>
  <r>
    <x v="68"/>
    <x v="58"/>
    <x v="0"/>
    <x v="4"/>
    <x v="0"/>
    <s v="Closed"/>
    <s v="High"/>
    <x v="1"/>
    <x v="7"/>
    <x v="7"/>
    <s v="OK"/>
    <s v="Unique"/>
    <s v="Ready"/>
    <s v="Karan - Burglary"/>
  </r>
  <r>
    <x v="69"/>
    <x v="59"/>
    <x v="0"/>
    <x v="3"/>
    <x v="0"/>
    <s v="Closed"/>
    <s v="High"/>
    <x v="1"/>
    <x v="10"/>
    <x v="10"/>
    <s v="OK"/>
    <s v="Unique"/>
    <s v="Ready"/>
    <s v="Hodan - Assault"/>
  </r>
  <r>
    <x v="70"/>
    <x v="60"/>
    <x v="0"/>
    <x v="1"/>
    <x v="0"/>
    <s v="Closed"/>
    <s v="High"/>
    <x v="0"/>
    <x v="5"/>
    <x v="5"/>
    <s v="OK"/>
    <s v="Unique"/>
    <s v="Ready"/>
    <s v="Hodan - Assault"/>
  </r>
  <r>
    <x v="71"/>
    <x v="61"/>
    <x v="5"/>
    <x v="1"/>
    <x v="0"/>
    <s v="Closed"/>
    <s v="Medium"/>
    <x v="1"/>
    <x v="10"/>
    <x v="10"/>
    <s v="OK"/>
    <s v="Unique"/>
    <s v="Ready"/>
    <s v="Daynile - Fraud"/>
  </r>
  <r>
    <x v="72"/>
    <x v="62"/>
    <x v="2"/>
    <x v="1"/>
    <x v="0"/>
    <s v="Referred"/>
    <s v="Medium"/>
    <x v="1"/>
    <x v="5"/>
    <x v="5"/>
    <s v="OK"/>
    <s v="Unique"/>
    <s v="Ready"/>
    <s v="Wadajir - Fraud"/>
  </r>
  <r>
    <x v="73"/>
    <x v="0"/>
    <x v="3"/>
    <x v="2"/>
    <x v="1"/>
    <s v="Closed"/>
    <s v="Low"/>
    <x v="0"/>
    <x v="0"/>
    <x v="0"/>
    <s v="Needs Review"/>
    <s v="Unique"/>
    <s v="Review"/>
    <s v="Daynile - Robbery"/>
  </r>
  <r>
    <x v="74"/>
    <x v="63"/>
    <x v="0"/>
    <x v="2"/>
    <x v="0"/>
    <s v="Closed"/>
    <s v="High"/>
    <x v="1"/>
    <x v="11"/>
    <x v="11"/>
    <s v="OK"/>
    <s v="Unique"/>
    <s v="Ready"/>
    <s v="Daynile - Robbery"/>
  </r>
  <r>
    <x v="75"/>
    <x v="64"/>
    <x v="5"/>
    <x v="4"/>
    <x v="0"/>
    <s v="Closed"/>
    <s v="Medium"/>
    <x v="0"/>
    <x v="5"/>
    <x v="5"/>
    <s v="OK"/>
    <s v="Unique"/>
    <s v="Ready"/>
    <s v="Daynile - Theft"/>
  </r>
  <r>
    <x v="76"/>
    <x v="65"/>
    <x v="2"/>
    <x v="0"/>
    <x v="1"/>
    <s v="Under Investigation"/>
    <s v="Medium"/>
    <x v="1"/>
    <x v="1"/>
    <x v="1"/>
    <s v="Needs Review"/>
    <s v="Unique"/>
    <s v="Review"/>
    <s v="Waberi - Traffic Offense"/>
  </r>
  <r>
    <x v="77"/>
    <x v="22"/>
    <x v="0"/>
    <x v="0"/>
    <x v="2"/>
    <s v="Under Investigation"/>
    <s v="High"/>
    <x v="1"/>
    <x v="11"/>
    <x v="11"/>
    <s v="OK"/>
    <s v="Unique"/>
    <s v="Ready"/>
    <s v="Waberi - Robbery"/>
  </r>
  <r>
    <x v="78"/>
    <x v="66"/>
    <x v="5"/>
    <x v="4"/>
    <x v="2"/>
    <s v="Open"/>
    <s v="Medium"/>
    <x v="0"/>
    <x v="4"/>
    <x v="4"/>
    <s v="OK"/>
    <s v="Unique"/>
    <s v="Ready"/>
    <s v="Daynile - Fraud"/>
  </r>
  <r>
    <x v="79"/>
    <x v="67"/>
    <x v="5"/>
    <x v="0"/>
    <x v="1"/>
    <s v="Under Investigation"/>
    <s v="Medium"/>
    <x v="0"/>
    <x v="10"/>
    <x v="10"/>
    <s v="Needs Review"/>
    <s v="Unique"/>
    <s v="Review"/>
    <s v="Hodan - Theft"/>
  </r>
  <r>
    <x v="80"/>
    <x v="68"/>
    <x v="3"/>
    <x v="4"/>
    <x v="0"/>
    <s v="Closed"/>
    <s v="Low"/>
    <x v="1"/>
    <x v="9"/>
    <x v="9"/>
    <s v="OK"/>
    <s v="Unique"/>
    <s v="Ready"/>
    <s v="Wadajir - Fraud"/>
  </r>
  <r>
    <x v="81"/>
    <x v="20"/>
    <x v="0"/>
    <x v="2"/>
    <x v="0"/>
    <s v="Closed"/>
    <s v="High"/>
    <x v="1"/>
    <x v="10"/>
    <x v="10"/>
    <s v="OK"/>
    <s v="Unique"/>
    <s v="Ready"/>
    <s v="Wadajir - Theft"/>
  </r>
  <r>
    <x v="82"/>
    <x v="69"/>
    <x v="5"/>
    <x v="4"/>
    <x v="2"/>
    <s v="Under Investigation"/>
    <s v="Medium"/>
    <x v="0"/>
    <x v="0"/>
    <x v="0"/>
    <s v="OK"/>
    <s v="Unique"/>
    <s v="Ready"/>
    <s v="Hodan - Assault"/>
  </r>
  <r>
    <x v="83"/>
    <x v="70"/>
    <x v="2"/>
    <x v="4"/>
    <x v="2"/>
    <s v="Open"/>
    <s v="Medium"/>
    <x v="0"/>
    <x v="4"/>
    <x v="4"/>
    <s v="OK"/>
    <s v="Unique"/>
    <s v="Ready"/>
    <s v="Daynile - Fraud"/>
  </r>
  <r>
    <x v="84"/>
    <x v="0"/>
    <x v="2"/>
    <x v="1"/>
    <x v="0"/>
    <s v="Closed"/>
    <s v="Medium"/>
    <x v="0"/>
    <x v="0"/>
    <x v="0"/>
    <s v="OK"/>
    <s v="Unique"/>
    <s v="Ready"/>
    <s v="Wadajir - Fraud"/>
  </r>
  <r>
    <x v="85"/>
    <x v="71"/>
    <x v="2"/>
    <x v="2"/>
    <x v="0"/>
    <s v="Closed"/>
    <s v="Medium"/>
    <x v="1"/>
    <x v="3"/>
    <x v="3"/>
    <s v="OK"/>
    <s v="Unique"/>
    <s v="Ready"/>
    <s v="Wadajir - Theft"/>
  </r>
  <r>
    <x v="86"/>
    <x v="72"/>
    <x v="5"/>
    <x v="3"/>
    <x v="1"/>
    <s v="Under Investigation"/>
    <s v="Medium"/>
    <x v="1"/>
    <x v="2"/>
    <x v="2"/>
    <s v="Needs Review"/>
    <s v="Unique"/>
    <s v="Review"/>
    <s v="Karan - Theft"/>
  </r>
  <r>
    <x v="87"/>
    <x v="73"/>
    <x v="0"/>
    <x v="1"/>
    <x v="0"/>
    <s v="Open"/>
    <s v="High"/>
    <x v="0"/>
    <x v="5"/>
    <x v="5"/>
    <s v="OK"/>
    <s v="Unique"/>
    <s v="Ready"/>
    <s v="Yaqshid - Robbery"/>
  </r>
  <r>
    <x v="88"/>
    <x v="74"/>
    <x v="5"/>
    <x v="3"/>
    <x v="2"/>
    <s v="Closed"/>
    <s v="Medium"/>
    <x v="0"/>
    <x v="5"/>
    <x v="5"/>
    <s v="OK"/>
    <s v="Unique"/>
    <s v="Ready"/>
    <s v="Hodan - Assault"/>
  </r>
  <r>
    <x v="89"/>
    <x v="75"/>
    <x v="2"/>
    <x v="1"/>
    <x v="0"/>
    <s v="Closed"/>
    <s v="Medium"/>
    <x v="1"/>
    <x v="8"/>
    <x v="8"/>
    <s v="OK"/>
    <s v="Unique"/>
    <s v="Ready"/>
    <s v="Yaqshid - Fraud"/>
  </r>
  <r>
    <x v="90"/>
    <x v="76"/>
    <x v="0"/>
    <x v="1"/>
    <x v="0"/>
    <s v="Closed"/>
    <s v="High"/>
    <x v="1"/>
    <x v="5"/>
    <x v="5"/>
    <s v="OK"/>
    <s v="Unique"/>
    <s v="Ready"/>
    <s v="Yaqshid - Fraud"/>
  </r>
  <r>
    <x v="91"/>
    <x v="66"/>
    <x v="0"/>
    <x v="5"/>
    <x v="0"/>
    <s v="Closed"/>
    <s v="High"/>
    <x v="0"/>
    <x v="4"/>
    <x v="4"/>
    <s v="OK"/>
    <s v="Unique"/>
    <s v="Ready"/>
    <s v="Yaqshid - Robbery"/>
  </r>
  <r>
    <x v="92"/>
    <x v="77"/>
    <x v="5"/>
    <x v="2"/>
    <x v="2"/>
    <s v="Under Investigation"/>
    <s v="Medium"/>
    <x v="1"/>
    <x v="0"/>
    <x v="0"/>
    <s v="OK"/>
    <s v="Unique"/>
    <s v="Ready"/>
    <s v="Hodan - Theft"/>
  </r>
  <r>
    <x v="93"/>
    <x v="78"/>
    <x v="0"/>
    <x v="2"/>
    <x v="0"/>
    <s v="Open"/>
    <s v="High"/>
    <x v="1"/>
    <x v="0"/>
    <x v="0"/>
    <s v="OK"/>
    <s v="Unique"/>
    <s v="Ready"/>
    <s v="Waberi - Theft"/>
  </r>
  <r>
    <x v="94"/>
    <x v="0"/>
    <x v="0"/>
    <x v="4"/>
    <x v="0"/>
    <s v="Open"/>
    <s v="High"/>
    <x v="0"/>
    <x v="0"/>
    <x v="0"/>
    <s v="OK"/>
    <s v="Unique"/>
    <s v="Ready"/>
    <s v="Wadajir - Fraud"/>
  </r>
  <r>
    <x v="95"/>
    <x v="79"/>
    <x v="5"/>
    <x v="1"/>
    <x v="0"/>
    <s v="Closed"/>
    <s v="Medium"/>
    <x v="1"/>
    <x v="8"/>
    <x v="8"/>
    <s v="OK"/>
    <s v="Unique"/>
    <s v="Ready"/>
    <s v="Wadajir - Robbery"/>
  </r>
  <r>
    <x v="96"/>
    <x v="80"/>
    <x v="2"/>
    <x v="4"/>
    <x v="0"/>
    <s v="Closed"/>
    <s v="Medium"/>
    <x v="1"/>
    <x v="9"/>
    <x v="9"/>
    <s v="OK"/>
    <s v="Unique"/>
    <s v="Ready"/>
    <s v="Wadajir - Fraud"/>
  </r>
  <r>
    <x v="97"/>
    <x v="81"/>
    <x v="5"/>
    <x v="2"/>
    <x v="2"/>
    <s v="Closed"/>
    <s v="High"/>
    <x v="1"/>
    <x v="6"/>
    <x v="6"/>
    <s v="OK"/>
    <s v="Unique"/>
    <s v="Ready"/>
    <s v="Wadajir - Robbery"/>
  </r>
  <r>
    <x v="98"/>
    <x v="82"/>
    <x v="2"/>
    <x v="1"/>
    <x v="2"/>
    <s v="Under Investigation"/>
    <s v="High"/>
    <x v="1"/>
    <x v="1"/>
    <x v="1"/>
    <s v="OK"/>
    <s v="Unique"/>
    <s v="Ready"/>
    <s v="Wadajir - Robbery"/>
  </r>
  <r>
    <x v="99"/>
    <x v="83"/>
    <x v="1"/>
    <x v="5"/>
    <x v="1"/>
    <s v="Under Investigation"/>
    <s v="High"/>
    <x v="1"/>
    <x v="8"/>
    <x v="8"/>
    <s v="Needs Review"/>
    <s v="Unique"/>
    <s v="Review"/>
    <s v="Wadajir - Burglary"/>
  </r>
  <r>
    <x v="100"/>
    <x v="84"/>
    <x v="5"/>
    <x v="2"/>
    <x v="0"/>
    <s v="Closed"/>
    <s v="Medium"/>
    <x v="0"/>
    <x v="10"/>
    <x v="10"/>
    <s v="OK"/>
    <s v="Unique"/>
    <s v="Ready"/>
    <s v="Daynile - Assault"/>
  </r>
  <r>
    <x v="101"/>
    <x v="85"/>
    <x v="0"/>
    <x v="2"/>
    <x v="2"/>
    <s v="Closed"/>
    <s v="High"/>
    <x v="0"/>
    <x v="6"/>
    <x v="6"/>
    <s v="OK"/>
    <s v="Unique"/>
    <s v="Ready"/>
    <s v="Hodan - Robbery"/>
  </r>
  <r>
    <x v="102"/>
    <x v="86"/>
    <x v="0"/>
    <x v="5"/>
    <x v="2"/>
    <s v="Open"/>
    <s v="High"/>
    <x v="1"/>
    <x v="11"/>
    <x v="11"/>
    <s v="OK"/>
    <s v="Unique"/>
    <s v="Ready"/>
    <s v="Waberi - Fraud"/>
  </r>
  <r>
    <x v="103"/>
    <x v="87"/>
    <x v="2"/>
    <x v="0"/>
    <x v="1"/>
    <s v="Under Investigation"/>
    <s v="Medium"/>
    <x v="0"/>
    <x v="1"/>
    <x v="1"/>
    <s v="Needs Review"/>
    <s v="Unique"/>
    <s v="Review"/>
    <s v="Daynile - Fraud"/>
  </r>
  <r>
    <x v="104"/>
    <x v="88"/>
    <x v="1"/>
    <x v="5"/>
    <x v="1"/>
    <s v="Closed"/>
    <s v="High"/>
    <x v="0"/>
    <x v="6"/>
    <x v="6"/>
    <s v="Needs Review"/>
    <s v="Unique"/>
    <s v="Review"/>
    <s v="Yaqshid - Fraud"/>
  </r>
  <r>
    <x v="105"/>
    <x v="17"/>
    <x v="2"/>
    <x v="1"/>
    <x v="0"/>
    <s v="Under Investigation"/>
    <s v="High"/>
    <x v="1"/>
    <x v="5"/>
    <x v="5"/>
    <s v="OK"/>
    <s v="Unique"/>
    <s v="Ready"/>
    <s v="Yaqshid - Fraud"/>
  </r>
  <r>
    <x v="106"/>
    <x v="89"/>
    <x v="4"/>
    <x v="4"/>
    <x v="0"/>
    <s v="Closed"/>
    <s v="Medium"/>
    <x v="1"/>
    <x v="5"/>
    <x v="5"/>
    <s v="OK"/>
    <s v="Unique"/>
    <s v="Ready"/>
    <s v="Yaqshid - Fraud"/>
  </r>
  <r>
    <x v="107"/>
    <x v="90"/>
    <x v="3"/>
    <x v="1"/>
    <x v="1"/>
    <s v="Closed"/>
    <s v="Low"/>
    <x v="1"/>
    <x v="1"/>
    <x v="1"/>
    <s v="Needs Review"/>
    <s v="Unique"/>
    <s v="Review"/>
    <s v="Daynile - Theft"/>
  </r>
  <r>
    <x v="108"/>
    <x v="91"/>
    <x v="5"/>
    <x v="2"/>
    <x v="0"/>
    <s v="Closed"/>
    <s v="Medium"/>
    <x v="0"/>
    <x v="4"/>
    <x v="4"/>
    <s v="OK"/>
    <s v="Unique"/>
    <s v="Ready"/>
    <s v="Karan - Robbery"/>
  </r>
  <r>
    <x v="109"/>
    <x v="37"/>
    <x v="0"/>
    <x v="4"/>
    <x v="0"/>
    <s v="Open"/>
    <s v="High"/>
    <x v="1"/>
    <x v="5"/>
    <x v="5"/>
    <s v="OK"/>
    <s v="Unique"/>
    <s v="Ready"/>
    <s v="Yaqshid - Assault"/>
  </r>
  <r>
    <x v="110"/>
    <x v="92"/>
    <x v="4"/>
    <x v="5"/>
    <x v="0"/>
    <s v="Closed"/>
    <s v="Medium"/>
    <x v="0"/>
    <x v="5"/>
    <x v="5"/>
    <s v="OK"/>
    <s v="Unique"/>
    <s v="Ready"/>
    <s v="Karan - Fraud"/>
  </r>
  <r>
    <x v="111"/>
    <x v="93"/>
    <x v="0"/>
    <x v="1"/>
    <x v="0"/>
    <s v="Under Investigation"/>
    <s v="High"/>
    <x v="1"/>
    <x v="10"/>
    <x v="10"/>
    <s v="OK"/>
    <s v="Unique"/>
    <s v="Ready"/>
    <s v="Wadajir - Theft"/>
  </r>
  <r>
    <x v="112"/>
    <x v="94"/>
    <x v="2"/>
    <x v="4"/>
    <x v="0"/>
    <s v="Under Investigation"/>
    <s v="Medium"/>
    <x v="0"/>
    <x v="1"/>
    <x v="1"/>
    <s v="OK"/>
    <s v="Unique"/>
    <s v="Ready"/>
    <s v="Hodan - Robbery"/>
  </r>
  <r>
    <x v="113"/>
    <x v="95"/>
    <x v="2"/>
    <x v="5"/>
    <x v="2"/>
    <s v="Under Investigation"/>
    <s v="High"/>
    <x v="1"/>
    <x v="6"/>
    <x v="6"/>
    <s v="OK"/>
    <s v="Unique"/>
    <s v="Ready"/>
    <s v="Waberi - Theft"/>
  </r>
  <r>
    <x v="114"/>
    <x v="0"/>
    <x v="0"/>
    <x v="1"/>
    <x v="0"/>
    <s v="Closed"/>
    <s v="High"/>
    <x v="0"/>
    <x v="0"/>
    <x v="0"/>
    <s v="OK"/>
    <s v="Unique"/>
    <s v="Ready"/>
    <s v="Yaqshid - Assault"/>
  </r>
  <r>
    <x v="115"/>
    <x v="96"/>
    <x v="1"/>
    <x v="4"/>
    <x v="0"/>
    <s v="Closed"/>
    <s v="High"/>
    <x v="1"/>
    <x v="4"/>
    <x v="4"/>
    <s v="OK"/>
    <s v="Unique"/>
    <s v="Ready"/>
    <s v="Waberi - Theft"/>
  </r>
  <r>
    <x v="116"/>
    <x v="77"/>
    <x v="0"/>
    <x v="1"/>
    <x v="0"/>
    <s v="Open"/>
    <s v="Medium"/>
    <x v="1"/>
    <x v="0"/>
    <x v="0"/>
    <s v="OK"/>
    <s v="Unique"/>
    <s v="Ready"/>
    <s v="Karan - Assault"/>
  </r>
  <r>
    <x v="117"/>
    <x v="97"/>
    <x v="2"/>
    <x v="4"/>
    <x v="2"/>
    <s v="Open"/>
    <s v="Medium"/>
    <x v="1"/>
    <x v="1"/>
    <x v="1"/>
    <s v="OK"/>
    <s v="Unique"/>
    <s v="Ready"/>
    <s v="Hodan - Theft"/>
  </r>
  <r>
    <x v="118"/>
    <x v="98"/>
    <x v="1"/>
    <x v="0"/>
    <x v="2"/>
    <s v="Open"/>
    <s v="High"/>
    <x v="1"/>
    <x v="8"/>
    <x v="8"/>
    <s v="OK"/>
    <s v="Unique"/>
    <s v="Ready"/>
    <s v="Hodan - Assault"/>
  </r>
  <r>
    <x v="119"/>
    <x v="60"/>
    <x v="0"/>
    <x v="4"/>
    <x v="2"/>
    <s v="Open"/>
    <s v="High"/>
    <x v="0"/>
    <x v="5"/>
    <x v="5"/>
    <s v="OK"/>
    <s v="Unique"/>
    <s v="Ready"/>
    <s v="Hodan - Robbery"/>
  </r>
  <r>
    <x v="120"/>
    <x v="99"/>
    <x v="3"/>
    <x v="3"/>
    <x v="2"/>
    <s v="Under Investigation"/>
    <s v="Low"/>
    <x v="1"/>
    <x v="3"/>
    <x v="3"/>
    <s v="OK"/>
    <s v="Unique"/>
    <s v="Ready"/>
    <s v="Wadajir - Theft"/>
  </r>
  <r>
    <x v="121"/>
    <x v="100"/>
    <x v="3"/>
    <x v="1"/>
    <x v="1"/>
    <s v="Closed"/>
    <s v="Low"/>
    <x v="1"/>
    <x v="9"/>
    <x v="9"/>
    <s v="Needs Review"/>
    <s v="Unique"/>
    <s v="Review"/>
    <s v="Hodan - Assault"/>
  </r>
  <r>
    <x v="122"/>
    <x v="101"/>
    <x v="5"/>
    <x v="2"/>
    <x v="1"/>
    <s v="Open"/>
    <s v="High"/>
    <x v="0"/>
    <x v="3"/>
    <x v="3"/>
    <s v="Needs Review"/>
    <s v="Unique"/>
    <s v="Review"/>
    <s v="Wadajir - Robbery"/>
  </r>
  <r>
    <x v="123"/>
    <x v="102"/>
    <x v="2"/>
    <x v="3"/>
    <x v="2"/>
    <s v="Closed"/>
    <s v="Medium"/>
    <x v="0"/>
    <x v="0"/>
    <x v="0"/>
    <s v="OK"/>
    <s v="Unique"/>
    <s v="Ready"/>
    <s v="Waberi - Assault"/>
  </r>
  <r>
    <x v="124"/>
    <x v="103"/>
    <x v="1"/>
    <x v="2"/>
    <x v="0"/>
    <s v="Closed"/>
    <s v="High"/>
    <x v="0"/>
    <x v="3"/>
    <x v="3"/>
    <s v="OK"/>
    <s v="Unique"/>
    <s v="Ready"/>
    <s v="Hodan - Theft"/>
  </r>
  <r>
    <x v="125"/>
    <x v="104"/>
    <x v="2"/>
    <x v="3"/>
    <x v="0"/>
    <s v="Closed"/>
    <s v="Medium"/>
    <x v="1"/>
    <x v="0"/>
    <x v="0"/>
    <s v="OK"/>
    <s v="Unique"/>
    <s v="Ready"/>
    <s v="Karan - Traffic Offense"/>
  </r>
  <r>
    <x v="126"/>
    <x v="105"/>
    <x v="3"/>
    <x v="4"/>
    <x v="0"/>
    <s v="Closed"/>
    <s v="Low"/>
    <x v="1"/>
    <x v="0"/>
    <x v="0"/>
    <s v="OK"/>
    <s v="Unique"/>
    <s v="Ready"/>
    <s v="Wadajir - Assault"/>
  </r>
  <r>
    <x v="127"/>
    <x v="94"/>
    <x v="2"/>
    <x v="2"/>
    <x v="1"/>
    <s v="Under Investigation"/>
    <s v="Medium"/>
    <x v="0"/>
    <x v="1"/>
    <x v="1"/>
    <s v="Needs Review"/>
    <s v="Unique"/>
    <s v="Review"/>
    <s v="Hodan - Theft"/>
  </r>
  <r>
    <x v="128"/>
    <x v="34"/>
    <x v="5"/>
    <x v="0"/>
    <x v="2"/>
    <s v="Closed"/>
    <s v="Medium"/>
    <x v="1"/>
    <x v="7"/>
    <x v="7"/>
    <s v="OK"/>
    <s v="Unique"/>
    <s v="Ready"/>
    <s v="Waberi - Theft"/>
  </r>
  <r>
    <x v="129"/>
    <x v="106"/>
    <x v="0"/>
    <x v="5"/>
    <x v="0"/>
    <s v="Under Investigation"/>
    <s v="High"/>
    <x v="1"/>
    <x v="2"/>
    <x v="2"/>
    <s v="OK"/>
    <s v="Unique"/>
    <s v="Ready"/>
    <s v="Yaqshid - Fraud"/>
  </r>
  <r>
    <x v="130"/>
    <x v="107"/>
    <x v="0"/>
    <x v="1"/>
    <x v="0"/>
    <s v="Referred"/>
    <s v="High"/>
    <x v="1"/>
    <x v="6"/>
    <x v="6"/>
    <s v="OK"/>
    <s v="Unique"/>
    <s v="Ready"/>
    <s v="Waberi - Assault"/>
  </r>
  <r>
    <x v="131"/>
    <x v="108"/>
    <x v="5"/>
    <x v="3"/>
    <x v="0"/>
    <s v="Open"/>
    <s v="Medium"/>
    <x v="1"/>
    <x v="6"/>
    <x v="6"/>
    <s v="OK"/>
    <s v="Unique"/>
    <s v="Ready"/>
    <s v="Yaqshid - Robbery"/>
  </r>
  <r>
    <x v="132"/>
    <x v="109"/>
    <x v="2"/>
    <x v="1"/>
    <x v="1"/>
    <s v="Closed"/>
    <s v="Medium"/>
    <x v="1"/>
    <x v="1"/>
    <x v="1"/>
    <s v="Needs Review"/>
    <s v="Unique"/>
    <s v="Review"/>
    <s v="Hodan - Assault"/>
  </r>
  <r>
    <x v="133"/>
    <x v="0"/>
    <x v="2"/>
    <x v="1"/>
    <x v="0"/>
    <s v="Closed"/>
    <s v="Medium"/>
    <x v="0"/>
    <x v="0"/>
    <x v="0"/>
    <s v="OK"/>
    <s v="Unique"/>
    <s v="Ready"/>
    <s v="Hodan - Theft"/>
  </r>
  <r>
    <x v="134"/>
    <x v="110"/>
    <x v="2"/>
    <x v="5"/>
    <x v="0"/>
    <s v="Open"/>
    <s v="Medium"/>
    <x v="0"/>
    <x v="6"/>
    <x v="6"/>
    <s v="OK"/>
    <s v="Unique"/>
    <s v="Ready"/>
    <s v="Hodan - Assault"/>
  </r>
  <r>
    <x v="135"/>
    <x v="111"/>
    <x v="0"/>
    <x v="4"/>
    <x v="2"/>
    <s v="Open"/>
    <s v="High"/>
    <x v="1"/>
    <x v="5"/>
    <x v="5"/>
    <s v="OK"/>
    <s v="Unique"/>
    <s v="Ready"/>
    <s v="Yaqshid - Theft"/>
  </r>
  <r>
    <x v="136"/>
    <x v="112"/>
    <x v="3"/>
    <x v="4"/>
    <x v="2"/>
    <s v="Closed"/>
    <s v="Low"/>
    <x v="0"/>
    <x v="4"/>
    <x v="4"/>
    <s v="OK"/>
    <s v="Unique"/>
    <s v="Ready"/>
    <s v="Hodan - Theft"/>
  </r>
  <r>
    <x v="137"/>
    <x v="113"/>
    <x v="2"/>
    <x v="1"/>
    <x v="0"/>
    <s v="Open"/>
    <s v="Medium"/>
    <x v="0"/>
    <x v="4"/>
    <x v="4"/>
    <s v="OK"/>
    <s v="Unique"/>
    <s v="Ready"/>
    <s v="Daynile - Assault"/>
  </r>
  <r>
    <x v="138"/>
    <x v="114"/>
    <x v="5"/>
    <x v="4"/>
    <x v="1"/>
    <s v="Under Investigation"/>
    <s v="Medium"/>
    <x v="1"/>
    <x v="4"/>
    <x v="4"/>
    <s v="Needs Review"/>
    <s v="Unique"/>
    <s v="Review"/>
    <s v="Karan - Robbery"/>
  </r>
  <r>
    <x v="139"/>
    <x v="115"/>
    <x v="4"/>
    <x v="1"/>
    <x v="0"/>
    <s v="Closed"/>
    <s v="Medium"/>
    <x v="1"/>
    <x v="3"/>
    <x v="3"/>
    <s v="OK"/>
    <s v="Unique"/>
    <s v="Ready"/>
    <s v="Hodan - Fraud"/>
  </r>
  <r>
    <x v="140"/>
    <x v="116"/>
    <x v="2"/>
    <x v="3"/>
    <x v="0"/>
    <s v="Open"/>
    <s v="Medium"/>
    <x v="1"/>
    <x v="9"/>
    <x v="9"/>
    <s v="OK"/>
    <s v="Unique"/>
    <s v="Ready"/>
    <s v="Wadajir - Fraud"/>
  </r>
  <r>
    <x v="141"/>
    <x v="117"/>
    <x v="5"/>
    <x v="3"/>
    <x v="1"/>
    <s v="Under Investigation"/>
    <s v="Medium"/>
    <x v="1"/>
    <x v="7"/>
    <x v="7"/>
    <s v="Needs Review"/>
    <s v="Unique"/>
    <s v="Review"/>
    <s v="Wadajir - Theft"/>
  </r>
  <r>
    <x v="142"/>
    <x v="0"/>
    <x v="2"/>
    <x v="4"/>
    <x v="0"/>
    <s v="Closed"/>
    <s v="Medium"/>
    <x v="0"/>
    <x v="0"/>
    <x v="0"/>
    <s v="OK"/>
    <s v="Unique"/>
    <s v="Ready"/>
    <s v="Karan - Theft"/>
  </r>
  <r>
    <x v="143"/>
    <x v="118"/>
    <x v="0"/>
    <x v="1"/>
    <x v="0"/>
    <s v="Open"/>
    <s v="High"/>
    <x v="0"/>
    <x v="4"/>
    <x v="4"/>
    <s v="OK"/>
    <s v="Unique"/>
    <s v="Ready"/>
    <s v="Karan - Assault"/>
  </r>
  <r>
    <x v="144"/>
    <x v="119"/>
    <x v="2"/>
    <x v="5"/>
    <x v="0"/>
    <s v="Under Investigation"/>
    <s v="High"/>
    <x v="1"/>
    <x v="7"/>
    <x v="7"/>
    <s v="OK"/>
    <s v="Unique"/>
    <s v="Ready"/>
    <s v="Wadajir - Theft"/>
  </r>
  <r>
    <x v="145"/>
    <x v="120"/>
    <x v="0"/>
    <x v="3"/>
    <x v="0"/>
    <s v="Referred"/>
    <s v="High"/>
    <x v="1"/>
    <x v="5"/>
    <x v="5"/>
    <s v="OK"/>
    <s v="Unique"/>
    <s v="Ready"/>
    <s v="Wadajir - Fraud"/>
  </r>
  <r>
    <x v="146"/>
    <x v="121"/>
    <x v="0"/>
    <x v="4"/>
    <x v="0"/>
    <s v="Under Investigation"/>
    <s v="High"/>
    <x v="1"/>
    <x v="8"/>
    <x v="8"/>
    <s v="OK"/>
    <s v="Unique"/>
    <s v="Ready"/>
    <s v="Karan - Fraud"/>
  </r>
  <r>
    <x v="147"/>
    <x v="122"/>
    <x v="1"/>
    <x v="2"/>
    <x v="2"/>
    <s v="Referred"/>
    <s v="High"/>
    <x v="0"/>
    <x v="4"/>
    <x v="4"/>
    <s v="OK"/>
    <s v="Unique"/>
    <s v="Ready"/>
    <s v="Wadajir - Assault"/>
  </r>
  <r>
    <x v="148"/>
    <x v="123"/>
    <x v="2"/>
    <x v="0"/>
    <x v="0"/>
    <s v="Closed"/>
    <s v="Medium"/>
    <x v="0"/>
    <x v="0"/>
    <x v="0"/>
    <s v="OK"/>
    <s v="Unique"/>
    <s v="Ready"/>
    <s v="Daynile - Robbery"/>
  </r>
  <r>
    <x v="149"/>
    <x v="124"/>
    <x v="0"/>
    <x v="2"/>
    <x v="0"/>
    <s v="Closed"/>
    <s v="High"/>
    <x v="0"/>
    <x v="3"/>
    <x v="3"/>
    <s v="OK"/>
    <s v="Unique"/>
    <s v="Ready"/>
    <s v="Hodan - Assault"/>
  </r>
  <r>
    <x v="150"/>
    <x v="125"/>
    <x v="2"/>
    <x v="1"/>
    <x v="1"/>
    <s v="Under Investigation"/>
    <s v="Medium"/>
    <x v="0"/>
    <x v="6"/>
    <x v="6"/>
    <s v="Needs Review"/>
    <s v="Unique"/>
    <s v="Review"/>
    <s v="Waberi - Burglary"/>
  </r>
  <r>
    <x v="151"/>
    <x v="60"/>
    <x v="5"/>
    <x v="3"/>
    <x v="2"/>
    <s v="Closed"/>
    <s v="Low"/>
    <x v="0"/>
    <x v="5"/>
    <x v="5"/>
    <s v="OK"/>
    <s v="Unique"/>
    <s v="Ready"/>
    <s v="Karan - Theft"/>
  </r>
  <r>
    <x v="152"/>
    <x v="126"/>
    <x v="1"/>
    <x v="0"/>
    <x v="2"/>
    <s v="Closed"/>
    <s v="High"/>
    <x v="1"/>
    <x v="2"/>
    <x v="2"/>
    <s v="OK"/>
    <s v="Unique"/>
    <s v="Ready"/>
    <s v="Hodan - Theft"/>
  </r>
  <r>
    <x v="153"/>
    <x v="29"/>
    <x v="2"/>
    <x v="1"/>
    <x v="2"/>
    <s v="Closed"/>
    <s v="Medium"/>
    <x v="0"/>
    <x v="3"/>
    <x v="3"/>
    <s v="OK"/>
    <s v="Unique"/>
    <s v="Ready"/>
    <s v="Waberi - Fraud"/>
  </r>
  <r>
    <x v="154"/>
    <x v="127"/>
    <x v="2"/>
    <x v="1"/>
    <x v="0"/>
    <s v="Under Investigation"/>
    <s v="Medium"/>
    <x v="0"/>
    <x v="4"/>
    <x v="4"/>
    <s v="OK"/>
    <s v="Unique"/>
    <s v="Ready"/>
    <s v="Waberi - Robbery"/>
  </r>
  <r>
    <x v="155"/>
    <x v="7"/>
    <x v="2"/>
    <x v="4"/>
    <x v="1"/>
    <s v="Closed"/>
    <s v="Medium"/>
    <x v="1"/>
    <x v="0"/>
    <x v="0"/>
    <s v="Needs Review"/>
    <s v="Unique"/>
    <s v="Review"/>
    <s v="Yaqshid - Theft"/>
  </r>
  <r>
    <x v="156"/>
    <x v="128"/>
    <x v="0"/>
    <x v="1"/>
    <x v="2"/>
    <s v="Open"/>
    <s v="High"/>
    <x v="1"/>
    <x v="11"/>
    <x v="11"/>
    <s v="OK"/>
    <s v="Unique"/>
    <s v="Ready"/>
    <s v="Wadajir - Fraud"/>
  </r>
  <r>
    <x v="157"/>
    <x v="7"/>
    <x v="0"/>
    <x v="0"/>
    <x v="2"/>
    <s v="Open"/>
    <s v="High"/>
    <x v="1"/>
    <x v="0"/>
    <x v="0"/>
    <s v="OK"/>
    <s v="Unique"/>
    <s v="Ready"/>
    <s v="Wadajir - Theft"/>
  </r>
  <r>
    <x v="158"/>
    <x v="31"/>
    <x v="5"/>
    <x v="0"/>
    <x v="2"/>
    <s v="Closed"/>
    <s v="Medium"/>
    <x v="1"/>
    <x v="11"/>
    <x v="11"/>
    <s v="OK"/>
    <s v="Unique"/>
    <s v="Ready"/>
    <s v="Yaqshid - Fraud"/>
  </r>
  <r>
    <x v="159"/>
    <x v="129"/>
    <x v="5"/>
    <x v="5"/>
    <x v="1"/>
    <s v="Under Investigation"/>
    <s v="Medium"/>
    <x v="0"/>
    <x v="5"/>
    <x v="5"/>
    <s v="Needs Review"/>
    <s v="Unique"/>
    <s v="Review"/>
    <s v="Waberi - Robbery"/>
  </r>
  <r>
    <x v="160"/>
    <x v="130"/>
    <x v="2"/>
    <x v="4"/>
    <x v="2"/>
    <s v="Closed"/>
    <s v="Medium"/>
    <x v="0"/>
    <x v="4"/>
    <x v="4"/>
    <s v="OK"/>
    <s v="Unique"/>
    <s v="Ready"/>
    <s v="Daynile - Robbery"/>
  </r>
  <r>
    <x v="161"/>
    <x v="131"/>
    <x v="0"/>
    <x v="1"/>
    <x v="2"/>
    <s v="Open"/>
    <s v="High"/>
    <x v="0"/>
    <x v="10"/>
    <x v="10"/>
    <s v="OK"/>
    <s v="Unique"/>
    <s v="Ready"/>
    <s v="Daynile - Fraud"/>
  </r>
  <r>
    <x v="162"/>
    <x v="0"/>
    <x v="4"/>
    <x v="4"/>
    <x v="2"/>
    <s v="Closed"/>
    <s v="Medium"/>
    <x v="0"/>
    <x v="0"/>
    <x v="0"/>
    <s v="OK"/>
    <s v="Unique"/>
    <s v="Ready"/>
    <s v="Wadajir - Assault"/>
  </r>
  <r>
    <x v="163"/>
    <x v="132"/>
    <x v="1"/>
    <x v="4"/>
    <x v="2"/>
    <s v="Under Investigation"/>
    <s v="High"/>
    <x v="1"/>
    <x v="3"/>
    <x v="3"/>
    <s v="OK"/>
    <s v="Unique"/>
    <s v="Ready"/>
    <s v="Daynile - Theft"/>
  </r>
  <r>
    <x v="164"/>
    <x v="133"/>
    <x v="1"/>
    <x v="5"/>
    <x v="0"/>
    <s v="Referred"/>
    <s v="High"/>
    <x v="0"/>
    <x v="4"/>
    <x v="4"/>
    <s v="OK"/>
    <s v="Unique"/>
    <s v="Ready"/>
    <s v="Yaqshid - Burglary"/>
  </r>
  <r>
    <x v="165"/>
    <x v="134"/>
    <x v="2"/>
    <x v="3"/>
    <x v="2"/>
    <s v="Under Investigation"/>
    <s v="Medium"/>
    <x v="0"/>
    <x v="10"/>
    <x v="10"/>
    <s v="OK"/>
    <s v="Unique"/>
    <s v="Ready"/>
    <s v="Wadajir - Theft"/>
  </r>
  <r>
    <x v="166"/>
    <x v="135"/>
    <x v="3"/>
    <x v="5"/>
    <x v="0"/>
    <s v="Referred"/>
    <s v="Low"/>
    <x v="0"/>
    <x v="4"/>
    <x v="4"/>
    <s v="OK"/>
    <s v="Unique"/>
    <s v="Ready"/>
    <s v="Daynile - Assault"/>
  </r>
  <r>
    <x v="167"/>
    <x v="72"/>
    <x v="2"/>
    <x v="3"/>
    <x v="1"/>
    <s v="Closed"/>
    <s v="Medium"/>
    <x v="1"/>
    <x v="2"/>
    <x v="2"/>
    <s v="Needs Review"/>
    <s v="Unique"/>
    <s v="Review"/>
    <s v="Yaqshid - Theft"/>
  </r>
  <r>
    <x v="168"/>
    <x v="136"/>
    <x v="5"/>
    <x v="3"/>
    <x v="2"/>
    <s v="Open"/>
    <s v="Medium"/>
    <x v="1"/>
    <x v="10"/>
    <x v="10"/>
    <s v="OK"/>
    <s v="Unique"/>
    <s v="Ready"/>
    <s v="Waberi - Theft"/>
  </r>
  <r>
    <x v="169"/>
    <x v="137"/>
    <x v="0"/>
    <x v="1"/>
    <x v="1"/>
    <s v="Open"/>
    <s v="Medium"/>
    <x v="1"/>
    <x v="0"/>
    <x v="0"/>
    <s v="Needs Review"/>
    <s v="Unique"/>
    <s v="Review"/>
    <s v="Hodan - Assault"/>
  </r>
  <r>
    <x v="170"/>
    <x v="105"/>
    <x v="4"/>
    <x v="5"/>
    <x v="0"/>
    <s v="Closed"/>
    <s v="Medium"/>
    <x v="1"/>
    <x v="0"/>
    <x v="0"/>
    <s v="OK"/>
    <s v="Unique"/>
    <s v="Ready"/>
    <s v="Daynile - Theft"/>
  </r>
  <r>
    <x v="171"/>
    <x v="10"/>
    <x v="4"/>
    <x v="4"/>
    <x v="2"/>
    <s v="Closed"/>
    <s v="Medium"/>
    <x v="1"/>
    <x v="6"/>
    <x v="6"/>
    <s v="OK"/>
    <s v="Unique"/>
    <s v="Ready"/>
    <s v="Hodan - Theft"/>
  </r>
  <r>
    <x v="172"/>
    <x v="138"/>
    <x v="0"/>
    <x v="3"/>
    <x v="2"/>
    <s v="Referred"/>
    <s v="High"/>
    <x v="0"/>
    <x v="5"/>
    <x v="5"/>
    <s v="OK"/>
    <s v="Unique"/>
    <s v="Ready"/>
    <s v="Hodan - Assault"/>
  </r>
  <r>
    <x v="173"/>
    <x v="139"/>
    <x v="5"/>
    <x v="1"/>
    <x v="2"/>
    <s v="Referred"/>
    <s v="Medium"/>
    <x v="0"/>
    <x v="1"/>
    <x v="1"/>
    <s v="OK"/>
    <s v="Unique"/>
    <s v="Ready"/>
    <s v="Yaqshid - Fraud"/>
  </r>
  <r>
    <x v="174"/>
    <x v="140"/>
    <x v="5"/>
    <x v="2"/>
    <x v="2"/>
    <s v="Closed"/>
    <s v="Medium"/>
    <x v="0"/>
    <x v="0"/>
    <x v="0"/>
    <s v="OK"/>
    <s v="Unique"/>
    <s v="Ready"/>
    <s v="Hodan - Fraud"/>
  </r>
  <r>
    <x v="175"/>
    <x v="0"/>
    <x v="3"/>
    <x v="5"/>
    <x v="0"/>
    <s v="Closed"/>
    <s v="Low"/>
    <x v="0"/>
    <x v="0"/>
    <x v="0"/>
    <s v="OK"/>
    <s v="Unique"/>
    <s v="Ready"/>
    <s v="Karan - Robbery"/>
  </r>
  <r>
    <x v="176"/>
    <x v="141"/>
    <x v="5"/>
    <x v="4"/>
    <x v="0"/>
    <s v="Referred"/>
    <s v="Medium"/>
    <x v="0"/>
    <x v="4"/>
    <x v="4"/>
    <s v="OK"/>
    <s v="Unique"/>
    <s v="Ready"/>
    <s v="Wadajir - Theft"/>
  </r>
  <r>
    <x v="177"/>
    <x v="142"/>
    <x v="2"/>
    <x v="1"/>
    <x v="1"/>
    <s v="Open"/>
    <s v="Medium"/>
    <x v="0"/>
    <x v="3"/>
    <x v="3"/>
    <s v="Needs Review"/>
    <s v="Unique"/>
    <s v="Review"/>
    <s v="Yaqshid - Theft"/>
  </r>
  <r>
    <x v="178"/>
    <x v="143"/>
    <x v="0"/>
    <x v="4"/>
    <x v="1"/>
    <s v="Referred"/>
    <s v="High"/>
    <x v="0"/>
    <x v="6"/>
    <x v="6"/>
    <s v="Needs Review"/>
    <s v="Unique"/>
    <s v="Review"/>
    <s v="Wadajir - Traffic Offense"/>
  </r>
  <r>
    <x v="179"/>
    <x v="144"/>
    <x v="1"/>
    <x v="4"/>
    <x v="1"/>
    <s v="Open"/>
    <s v="High"/>
    <x v="1"/>
    <x v="4"/>
    <x v="4"/>
    <s v="Needs Review"/>
    <s v="Unique"/>
    <s v="Review"/>
    <s v="Wadajir - Theft"/>
  </r>
  <r>
    <x v="180"/>
    <x v="145"/>
    <x v="2"/>
    <x v="3"/>
    <x v="1"/>
    <s v="Closed"/>
    <s v="Medium"/>
    <x v="1"/>
    <x v="3"/>
    <x v="3"/>
    <s v="Needs Review"/>
    <s v="Unique"/>
    <s v="Review"/>
    <s v="Hodan - Assault"/>
  </r>
  <r>
    <x v="181"/>
    <x v="146"/>
    <x v="2"/>
    <x v="1"/>
    <x v="2"/>
    <s v="Under Investigation"/>
    <s v="Medium"/>
    <x v="1"/>
    <x v="2"/>
    <x v="2"/>
    <s v="OK"/>
    <s v="Unique"/>
    <s v="Ready"/>
    <s v="Wadajir - Theft"/>
  </r>
  <r>
    <x v="182"/>
    <x v="147"/>
    <x v="2"/>
    <x v="2"/>
    <x v="0"/>
    <s v="Referred"/>
    <s v="Low"/>
    <x v="1"/>
    <x v="0"/>
    <x v="0"/>
    <s v="OK"/>
    <s v="Unique"/>
    <s v="Ready"/>
    <s v="Wadajir - Assault"/>
  </r>
  <r>
    <x v="183"/>
    <x v="24"/>
    <x v="5"/>
    <x v="1"/>
    <x v="1"/>
    <s v="Referred"/>
    <s v="Medium"/>
    <x v="1"/>
    <x v="7"/>
    <x v="7"/>
    <s v="Needs Review"/>
    <s v="Unique"/>
    <s v="Review"/>
    <s v="Hodan - Fraud"/>
  </r>
  <r>
    <x v="184"/>
    <x v="148"/>
    <x v="1"/>
    <x v="3"/>
    <x v="0"/>
    <s v="Closed"/>
    <s v="High"/>
    <x v="1"/>
    <x v="9"/>
    <x v="9"/>
    <s v="OK"/>
    <s v="Unique"/>
    <s v="Ready"/>
    <s v="Wadajir - Theft"/>
  </r>
  <r>
    <x v="185"/>
    <x v="3"/>
    <x v="2"/>
    <x v="1"/>
    <x v="0"/>
    <s v="Referred"/>
    <s v="Medium"/>
    <x v="1"/>
    <x v="1"/>
    <x v="1"/>
    <s v="OK"/>
    <s v="Unique"/>
    <s v="Ready"/>
    <s v="Hodan - Theft"/>
  </r>
  <r>
    <x v="186"/>
    <x v="149"/>
    <x v="2"/>
    <x v="4"/>
    <x v="0"/>
    <s v="Closed"/>
    <s v="Medium"/>
    <x v="0"/>
    <x v="0"/>
    <x v="0"/>
    <s v="OK"/>
    <s v="Unique"/>
    <s v="Ready"/>
    <s v="Waberi - Traffic Offense"/>
  </r>
  <r>
    <x v="187"/>
    <x v="150"/>
    <x v="0"/>
    <x v="0"/>
    <x v="0"/>
    <s v="Closed"/>
    <s v="High"/>
    <x v="1"/>
    <x v="6"/>
    <x v="6"/>
    <s v="OK"/>
    <s v="Unique"/>
    <s v="Ready"/>
    <s v="Wadajir - Theft"/>
  </r>
  <r>
    <x v="188"/>
    <x v="151"/>
    <x v="0"/>
    <x v="1"/>
    <x v="0"/>
    <s v="Closed"/>
    <s v="High"/>
    <x v="1"/>
    <x v="9"/>
    <x v="9"/>
    <s v="OK"/>
    <s v="Unique"/>
    <s v="Ready"/>
    <s v="Wadajir - Fraud"/>
  </r>
  <r>
    <x v="189"/>
    <x v="98"/>
    <x v="1"/>
    <x v="1"/>
    <x v="0"/>
    <s v="Closed"/>
    <s v="High"/>
    <x v="1"/>
    <x v="8"/>
    <x v="8"/>
    <s v="OK"/>
    <s v="Unique"/>
    <s v="Ready"/>
    <s v="Hodan - Theft"/>
  </r>
  <r>
    <x v="190"/>
    <x v="152"/>
    <x v="2"/>
    <x v="5"/>
    <x v="1"/>
    <s v="Open"/>
    <s v="Medium"/>
    <x v="1"/>
    <x v="11"/>
    <x v="11"/>
    <s v="Needs Review"/>
    <s v="Unique"/>
    <s v="Review"/>
    <s v="Hodan - Assault"/>
  </r>
  <r>
    <x v="191"/>
    <x v="153"/>
    <x v="2"/>
    <x v="2"/>
    <x v="0"/>
    <s v="Closed"/>
    <s v="Medium"/>
    <x v="0"/>
    <x v="4"/>
    <x v="4"/>
    <s v="OK"/>
    <s v="Unique"/>
    <s v="Ready"/>
    <s v="Wadajir - Traffic Offense"/>
  </r>
  <r>
    <x v="192"/>
    <x v="154"/>
    <x v="1"/>
    <x v="3"/>
    <x v="0"/>
    <s v="Closed"/>
    <s v="Medium"/>
    <x v="0"/>
    <x v="10"/>
    <x v="10"/>
    <s v="OK"/>
    <s v="Unique"/>
    <s v="Ready"/>
    <s v="Hodan - Traffic Offense"/>
  </r>
  <r>
    <x v="193"/>
    <x v="155"/>
    <x v="1"/>
    <x v="0"/>
    <x v="0"/>
    <s v="Referred"/>
    <s v="High"/>
    <x v="1"/>
    <x v="11"/>
    <x v="11"/>
    <s v="OK"/>
    <s v="Unique"/>
    <s v="Ready"/>
    <s v="Hodan - Theft"/>
  </r>
  <r>
    <x v="194"/>
    <x v="156"/>
    <x v="2"/>
    <x v="0"/>
    <x v="1"/>
    <s v="Open"/>
    <s v="Medium"/>
    <x v="0"/>
    <x v="6"/>
    <x v="6"/>
    <s v="Needs Review"/>
    <s v="Unique"/>
    <s v="Review"/>
    <s v="Hodan - Traffic Offense"/>
  </r>
  <r>
    <x v="195"/>
    <x v="81"/>
    <x v="3"/>
    <x v="5"/>
    <x v="0"/>
    <s v="Closed"/>
    <s v="Low"/>
    <x v="1"/>
    <x v="6"/>
    <x v="6"/>
    <s v="OK"/>
    <s v="Unique"/>
    <s v="Ready"/>
    <s v="Hodan - Theft"/>
  </r>
  <r>
    <x v="196"/>
    <x v="157"/>
    <x v="1"/>
    <x v="3"/>
    <x v="0"/>
    <s v="Under Investigation"/>
    <s v="High"/>
    <x v="1"/>
    <x v="4"/>
    <x v="4"/>
    <s v="OK"/>
    <s v="Unique"/>
    <s v="Ready"/>
    <s v="Yaqshid - Robbery"/>
  </r>
  <r>
    <x v="197"/>
    <x v="158"/>
    <x v="1"/>
    <x v="1"/>
    <x v="2"/>
    <s v="Closed"/>
    <s v="High"/>
    <x v="0"/>
    <x v="5"/>
    <x v="5"/>
    <s v="OK"/>
    <s v="Unique"/>
    <s v="Ready"/>
    <s v="Hodan - Theft"/>
  </r>
  <r>
    <x v="198"/>
    <x v="159"/>
    <x v="2"/>
    <x v="3"/>
    <x v="2"/>
    <s v="Closed"/>
    <s v="Medium"/>
    <x v="1"/>
    <x v="7"/>
    <x v="7"/>
    <s v="OK"/>
    <s v="Unique"/>
    <s v="Ready"/>
    <s v="Hodan - Robbery"/>
  </r>
  <r>
    <x v="199"/>
    <x v="160"/>
    <x v="0"/>
    <x v="1"/>
    <x v="0"/>
    <s v="Open"/>
    <s v="High"/>
    <x v="1"/>
    <x v="10"/>
    <x v="10"/>
    <s v="OK"/>
    <s v="Unique"/>
    <s v="Ready"/>
    <s v="Waberi - Theft"/>
  </r>
  <r>
    <x v="200"/>
    <x v="161"/>
    <x v="3"/>
    <x v="4"/>
    <x v="1"/>
    <s v="Under Investigation"/>
    <s v="Low"/>
    <x v="1"/>
    <x v="11"/>
    <x v="11"/>
    <s v="Needs Review"/>
    <s v="Unique"/>
    <s v="Review"/>
    <s v="Hodan - Fraud"/>
  </r>
  <r>
    <x v="201"/>
    <x v="162"/>
    <x v="2"/>
    <x v="4"/>
    <x v="0"/>
    <s v="Referred"/>
    <s v="Medium"/>
    <x v="0"/>
    <x v="6"/>
    <x v="6"/>
    <s v="OK"/>
    <s v="Unique"/>
    <s v="Ready"/>
    <s v="Daynile - Assault"/>
  </r>
  <r>
    <x v="202"/>
    <x v="163"/>
    <x v="5"/>
    <x v="1"/>
    <x v="0"/>
    <s v="Closed"/>
    <s v="Medium"/>
    <x v="1"/>
    <x v="4"/>
    <x v="4"/>
    <s v="OK"/>
    <s v="Unique"/>
    <s v="Ready"/>
    <s v="Waberi - Robbery"/>
  </r>
  <r>
    <x v="203"/>
    <x v="164"/>
    <x v="0"/>
    <x v="0"/>
    <x v="2"/>
    <s v="Under Investigation"/>
    <s v="High"/>
    <x v="0"/>
    <x v="0"/>
    <x v="0"/>
    <s v="OK"/>
    <s v="Unique"/>
    <s v="Ready"/>
    <s v="Hodan - Fraud"/>
  </r>
  <r>
    <x v="204"/>
    <x v="81"/>
    <x v="5"/>
    <x v="2"/>
    <x v="0"/>
    <s v="Under Investigation"/>
    <s v="Medium"/>
    <x v="1"/>
    <x v="6"/>
    <x v="6"/>
    <s v="OK"/>
    <s v="Unique"/>
    <s v="Ready"/>
    <s v="Daynile - Robbery"/>
  </r>
  <r>
    <x v="205"/>
    <x v="165"/>
    <x v="2"/>
    <x v="4"/>
    <x v="0"/>
    <s v="Closed"/>
    <s v="Medium"/>
    <x v="0"/>
    <x v="5"/>
    <x v="5"/>
    <s v="OK"/>
    <s v="Unique"/>
    <s v="Ready"/>
    <s v="Waberi - Fraud"/>
  </r>
  <r>
    <x v="206"/>
    <x v="166"/>
    <x v="2"/>
    <x v="0"/>
    <x v="0"/>
    <s v="Closed"/>
    <s v="Medium"/>
    <x v="1"/>
    <x v="4"/>
    <x v="4"/>
    <s v="OK"/>
    <s v="Unique"/>
    <s v="Ready"/>
    <s v="Wadajir - Burglary"/>
  </r>
  <r>
    <x v="207"/>
    <x v="167"/>
    <x v="0"/>
    <x v="1"/>
    <x v="2"/>
    <s v="Closed"/>
    <s v="Medium"/>
    <x v="0"/>
    <x v="10"/>
    <x v="10"/>
    <s v="OK"/>
    <s v="Unique"/>
    <s v="Ready"/>
    <s v="Yaqshid - Theft"/>
  </r>
  <r>
    <x v="208"/>
    <x v="168"/>
    <x v="1"/>
    <x v="1"/>
    <x v="0"/>
    <s v="Closed"/>
    <s v="High"/>
    <x v="0"/>
    <x v="6"/>
    <x v="6"/>
    <s v="OK"/>
    <s v="Unique"/>
    <s v="Ready"/>
    <s v="Hodan - Assault"/>
  </r>
  <r>
    <x v="209"/>
    <x v="169"/>
    <x v="0"/>
    <x v="5"/>
    <x v="0"/>
    <s v="Closed"/>
    <s v="High"/>
    <x v="1"/>
    <x v="2"/>
    <x v="2"/>
    <s v="OK"/>
    <s v="Unique"/>
    <s v="Ready"/>
    <s v="Karan - Assault"/>
  </r>
  <r>
    <x v="210"/>
    <x v="170"/>
    <x v="1"/>
    <x v="4"/>
    <x v="0"/>
    <s v="Under Investigation"/>
    <s v="High"/>
    <x v="1"/>
    <x v="8"/>
    <x v="8"/>
    <s v="OK"/>
    <s v="Unique"/>
    <s v="Ready"/>
    <s v="Wadajir - Theft"/>
  </r>
  <r>
    <x v="211"/>
    <x v="171"/>
    <x v="4"/>
    <x v="3"/>
    <x v="1"/>
    <s v="Open"/>
    <s v="Medium"/>
    <x v="1"/>
    <x v="8"/>
    <x v="8"/>
    <s v="Needs Review"/>
    <s v="Unique"/>
    <s v="Review"/>
    <s v="Wadajir - Theft"/>
  </r>
  <r>
    <x v="212"/>
    <x v="58"/>
    <x v="5"/>
    <x v="2"/>
    <x v="2"/>
    <s v="Under Investigation"/>
    <s v="Medium"/>
    <x v="1"/>
    <x v="7"/>
    <x v="7"/>
    <s v="OK"/>
    <s v="Unique"/>
    <s v="Ready"/>
    <s v="Hodan - Fraud"/>
  </r>
  <r>
    <x v="213"/>
    <x v="172"/>
    <x v="2"/>
    <x v="1"/>
    <x v="0"/>
    <s v="Open"/>
    <s v="Medium"/>
    <x v="1"/>
    <x v="2"/>
    <x v="2"/>
    <s v="OK"/>
    <s v="Unique"/>
    <s v="Ready"/>
    <s v="Karan - Theft"/>
  </r>
  <r>
    <x v="214"/>
    <x v="82"/>
    <x v="5"/>
    <x v="1"/>
    <x v="2"/>
    <s v="Open"/>
    <s v="Medium"/>
    <x v="1"/>
    <x v="1"/>
    <x v="1"/>
    <s v="OK"/>
    <s v="Unique"/>
    <s v="Ready"/>
    <s v="Hodan - Fraud"/>
  </r>
  <r>
    <x v="215"/>
    <x v="173"/>
    <x v="2"/>
    <x v="2"/>
    <x v="2"/>
    <s v="Under Investigation"/>
    <s v="Medium"/>
    <x v="1"/>
    <x v="3"/>
    <x v="3"/>
    <s v="OK"/>
    <s v="Unique"/>
    <s v="Ready"/>
    <s v="Waberi - Theft"/>
  </r>
  <r>
    <x v="216"/>
    <x v="174"/>
    <x v="2"/>
    <x v="5"/>
    <x v="0"/>
    <s v="Closed"/>
    <s v="Medium"/>
    <x v="1"/>
    <x v="1"/>
    <x v="1"/>
    <s v="OK"/>
    <s v="Unique"/>
    <s v="Ready"/>
    <s v="Yaqshid - Burglary"/>
  </r>
  <r>
    <x v="217"/>
    <x v="131"/>
    <x v="3"/>
    <x v="1"/>
    <x v="0"/>
    <s v="Closed"/>
    <s v="Low"/>
    <x v="0"/>
    <x v="10"/>
    <x v="10"/>
    <s v="OK"/>
    <s v="Unique"/>
    <s v="Ready"/>
    <s v="Wadajir - Traffic Offense"/>
  </r>
  <r>
    <x v="218"/>
    <x v="175"/>
    <x v="3"/>
    <x v="1"/>
    <x v="0"/>
    <s v="Closed"/>
    <s v="High"/>
    <x v="0"/>
    <x v="4"/>
    <x v="4"/>
    <s v="OK"/>
    <s v="Unique"/>
    <s v="Ready"/>
    <s v="Hodan - Fraud"/>
  </r>
  <r>
    <x v="219"/>
    <x v="176"/>
    <x v="2"/>
    <x v="3"/>
    <x v="2"/>
    <s v="Referred"/>
    <s v="Medium"/>
    <x v="1"/>
    <x v="9"/>
    <x v="9"/>
    <s v="OK"/>
    <s v="Unique"/>
    <s v="Ready"/>
    <s v="Hodan - Theft"/>
  </r>
  <r>
    <x v="220"/>
    <x v="177"/>
    <x v="2"/>
    <x v="1"/>
    <x v="2"/>
    <s v="Open"/>
    <s v="Medium"/>
    <x v="1"/>
    <x v="2"/>
    <x v="2"/>
    <s v="OK"/>
    <s v="Unique"/>
    <s v="Ready"/>
    <s v="Daynile - Traffic Offense"/>
  </r>
  <r>
    <x v="221"/>
    <x v="83"/>
    <x v="2"/>
    <x v="1"/>
    <x v="2"/>
    <s v="Under Investigation"/>
    <s v="Medium"/>
    <x v="1"/>
    <x v="8"/>
    <x v="8"/>
    <s v="OK"/>
    <s v="Unique"/>
    <s v="Ready"/>
    <s v="Wadajir - Fraud"/>
  </r>
  <r>
    <x v="222"/>
    <x v="148"/>
    <x v="3"/>
    <x v="3"/>
    <x v="2"/>
    <s v="Under Investigation"/>
    <s v="Low"/>
    <x v="1"/>
    <x v="9"/>
    <x v="9"/>
    <s v="OK"/>
    <s v="Unique"/>
    <s v="Ready"/>
    <s v="Waberi - Theft"/>
  </r>
  <r>
    <x v="223"/>
    <x v="178"/>
    <x v="5"/>
    <x v="3"/>
    <x v="2"/>
    <s v="Referred"/>
    <s v="Medium"/>
    <x v="1"/>
    <x v="5"/>
    <x v="5"/>
    <s v="OK"/>
    <s v="Unique"/>
    <s v="Ready"/>
    <s v="Daynile - Assault"/>
  </r>
  <r>
    <x v="224"/>
    <x v="102"/>
    <x v="3"/>
    <x v="2"/>
    <x v="0"/>
    <s v="Closed"/>
    <s v="Low"/>
    <x v="0"/>
    <x v="0"/>
    <x v="0"/>
    <s v="OK"/>
    <s v="Unique"/>
    <s v="Ready"/>
    <s v="Hodan - Robbery"/>
  </r>
  <r>
    <x v="225"/>
    <x v="179"/>
    <x v="1"/>
    <x v="1"/>
    <x v="0"/>
    <s v="Closed"/>
    <s v="High"/>
    <x v="0"/>
    <x v="3"/>
    <x v="3"/>
    <s v="OK"/>
    <s v="Unique"/>
    <s v="Ready"/>
    <s v="Hodan - Robbery"/>
  </r>
  <r>
    <x v="226"/>
    <x v="180"/>
    <x v="2"/>
    <x v="3"/>
    <x v="2"/>
    <s v="Closed"/>
    <s v="Medium"/>
    <x v="1"/>
    <x v="11"/>
    <x v="11"/>
    <s v="OK"/>
    <s v="Unique"/>
    <s v="Ready"/>
    <s v="Wadajir - Burglary"/>
  </r>
  <r>
    <x v="227"/>
    <x v="181"/>
    <x v="2"/>
    <x v="1"/>
    <x v="0"/>
    <s v="Closed"/>
    <s v="Medium"/>
    <x v="1"/>
    <x v="9"/>
    <x v="9"/>
    <s v="OK"/>
    <s v="Unique"/>
    <s v="Ready"/>
    <s v="Hodan - Theft"/>
  </r>
  <r>
    <x v="228"/>
    <x v="1"/>
    <x v="4"/>
    <x v="4"/>
    <x v="2"/>
    <s v="Under Investigation"/>
    <s v="Medium"/>
    <x v="1"/>
    <x v="1"/>
    <x v="1"/>
    <s v="OK"/>
    <s v="Unique"/>
    <s v="Ready"/>
    <s v="Hodan - Fraud"/>
  </r>
  <r>
    <x v="229"/>
    <x v="136"/>
    <x v="5"/>
    <x v="3"/>
    <x v="0"/>
    <s v="Closed"/>
    <s v="Medium"/>
    <x v="1"/>
    <x v="10"/>
    <x v="10"/>
    <s v="OK"/>
    <s v="Unique"/>
    <s v="Ready"/>
    <s v="Yaqshid - Assault"/>
  </r>
  <r>
    <x v="230"/>
    <x v="182"/>
    <x v="1"/>
    <x v="5"/>
    <x v="0"/>
    <s v="Open"/>
    <s v="Medium"/>
    <x v="1"/>
    <x v="11"/>
    <x v="11"/>
    <s v="OK"/>
    <s v="Unique"/>
    <s v="Ready"/>
    <s v="Daynile - Traffic Offense"/>
  </r>
  <r>
    <x v="231"/>
    <x v="183"/>
    <x v="4"/>
    <x v="3"/>
    <x v="2"/>
    <s v="Closed"/>
    <s v="Medium"/>
    <x v="1"/>
    <x v="0"/>
    <x v="0"/>
    <s v="OK"/>
    <s v="Unique"/>
    <s v="Ready"/>
    <s v="Hodan - Traffic Offense"/>
  </r>
  <r>
    <x v="232"/>
    <x v="184"/>
    <x v="5"/>
    <x v="1"/>
    <x v="0"/>
    <s v="Referred"/>
    <s v="Medium"/>
    <x v="0"/>
    <x v="0"/>
    <x v="0"/>
    <s v="OK"/>
    <s v="Unique"/>
    <s v="Ready"/>
    <s v="Karan - Robbery"/>
  </r>
  <r>
    <x v="233"/>
    <x v="57"/>
    <x v="2"/>
    <x v="4"/>
    <x v="0"/>
    <s v="Open"/>
    <s v="Medium"/>
    <x v="1"/>
    <x v="6"/>
    <x v="6"/>
    <s v="OK"/>
    <s v="Unique"/>
    <s v="Ready"/>
    <s v="Wadajir - Traffic Offense"/>
  </r>
  <r>
    <x v="234"/>
    <x v="124"/>
    <x v="5"/>
    <x v="4"/>
    <x v="2"/>
    <s v="Under Investigation"/>
    <s v="High"/>
    <x v="0"/>
    <x v="3"/>
    <x v="3"/>
    <s v="OK"/>
    <s v="Unique"/>
    <s v="Ready"/>
    <s v="Hodan - Theft"/>
  </r>
  <r>
    <x v="235"/>
    <x v="185"/>
    <x v="2"/>
    <x v="4"/>
    <x v="1"/>
    <s v="Open"/>
    <s v="Medium"/>
    <x v="1"/>
    <x v="5"/>
    <x v="5"/>
    <s v="Needs Review"/>
    <s v="Unique"/>
    <s v="Review"/>
    <s v="Hodan - Traffic Offense"/>
  </r>
  <r>
    <x v="236"/>
    <x v="186"/>
    <x v="2"/>
    <x v="1"/>
    <x v="1"/>
    <s v="Closed"/>
    <s v="Medium"/>
    <x v="1"/>
    <x v="10"/>
    <x v="10"/>
    <s v="Needs Review"/>
    <s v="Unique"/>
    <s v="Review"/>
    <s v="Hodan - Fraud"/>
  </r>
  <r>
    <x v="237"/>
    <x v="187"/>
    <x v="3"/>
    <x v="0"/>
    <x v="2"/>
    <s v="Under Investigation"/>
    <s v="Low"/>
    <x v="1"/>
    <x v="3"/>
    <x v="3"/>
    <s v="OK"/>
    <s v="Unique"/>
    <s v="Ready"/>
    <s v="Waberi - Burglary"/>
  </r>
  <r>
    <x v="238"/>
    <x v="188"/>
    <x v="3"/>
    <x v="0"/>
    <x v="0"/>
    <s v="Under Investigation"/>
    <s v="Low"/>
    <x v="1"/>
    <x v="8"/>
    <x v="8"/>
    <s v="OK"/>
    <s v="Unique"/>
    <s v="Ready"/>
    <s v="Yaqshid - Assault"/>
  </r>
  <r>
    <x v="239"/>
    <x v="189"/>
    <x v="2"/>
    <x v="5"/>
    <x v="0"/>
    <s v="Closed"/>
    <s v="Low"/>
    <x v="1"/>
    <x v="0"/>
    <x v="0"/>
    <s v="OK"/>
    <s v="Unique"/>
    <s v="Ready"/>
    <s v="Waberi - Assault"/>
  </r>
  <r>
    <x v="240"/>
    <x v="0"/>
    <x v="1"/>
    <x v="0"/>
    <x v="2"/>
    <s v="Closed"/>
    <s v="High"/>
    <x v="0"/>
    <x v="0"/>
    <x v="0"/>
    <s v="OK"/>
    <s v="Unique"/>
    <s v="Ready"/>
    <s v="Waberi - Theft"/>
  </r>
  <r>
    <x v="241"/>
    <x v="190"/>
    <x v="1"/>
    <x v="4"/>
    <x v="2"/>
    <s v="Under Investigation"/>
    <s v="Medium"/>
    <x v="1"/>
    <x v="5"/>
    <x v="5"/>
    <s v="OK"/>
    <s v="Unique"/>
    <s v="Ready"/>
    <s v="Hodan - Assault"/>
  </r>
  <r>
    <x v="242"/>
    <x v="191"/>
    <x v="0"/>
    <x v="2"/>
    <x v="2"/>
    <s v="Under Investigation"/>
    <s v="High"/>
    <x v="1"/>
    <x v="8"/>
    <x v="8"/>
    <s v="OK"/>
    <s v="Unique"/>
    <s v="Ready"/>
    <s v="Wadajir - Traffic Offense"/>
  </r>
  <r>
    <x v="243"/>
    <x v="192"/>
    <x v="5"/>
    <x v="3"/>
    <x v="0"/>
    <s v="Closed"/>
    <s v="Medium"/>
    <x v="0"/>
    <x v="0"/>
    <x v="0"/>
    <s v="OK"/>
    <s v="Unique"/>
    <s v="Ready"/>
    <s v="Karan - Assault"/>
  </r>
  <r>
    <x v="244"/>
    <x v="193"/>
    <x v="4"/>
    <x v="3"/>
    <x v="1"/>
    <s v="Under Investigation"/>
    <s v="Medium"/>
    <x v="0"/>
    <x v="0"/>
    <x v="0"/>
    <s v="Needs Review"/>
    <s v="Unique"/>
    <s v="Review"/>
    <s v="Yaqshid - Theft"/>
  </r>
  <r>
    <x v="245"/>
    <x v="0"/>
    <x v="2"/>
    <x v="4"/>
    <x v="2"/>
    <s v="Under Investigation"/>
    <s v="Medium"/>
    <x v="0"/>
    <x v="0"/>
    <x v="0"/>
    <s v="OK"/>
    <s v="Unique"/>
    <s v="Ready"/>
    <s v="Hodan - Fraud"/>
  </r>
  <r>
    <x v="246"/>
    <x v="194"/>
    <x v="0"/>
    <x v="1"/>
    <x v="2"/>
    <s v="Under Investigation"/>
    <s v="High"/>
    <x v="1"/>
    <x v="2"/>
    <x v="2"/>
    <s v="OK"/>
    <s v="Unique"/>
    <s v="Ready"/>
    <s v="Hodan - Burglary"/>
  </r>
  <r>
    <x v="247"/>
    <x v="195"/>
    <x v="5"/>
    <x v="4"/>
    <x v="1"/>
    <s v="Open"/>
    <s v="Medium"/>
    <x v="1"/>
    <x v="2"/>
    <x v="2"/>
    <s v="Needs Review"/>
    <s v="Unique"/>
    <s v="Review"/>
    <s v="Wadajir - Theft"/>
  </r>
  <r>
    <x v="248"/>
    <x v="196"/>
    <x v="1"/>
    <x v="1"/>
    <x v="0"/>
    <s v="Closed"/>
    <s v="High"/>
    <x v="1"/>
    <x v="8"/>
    <x v="8"/>
    <s v="OK"/>
    <s v="Unique"/>
    <s v="Ready"/>
    <s v="Wadajir - Theft"/>
  </r>
  <r>
    <x v="249"/>
    <x v="197"/>
    <x v="3"/>
    <x v="4"/>
    <x v="0"/>
    <s v="Open"/>
    <s v="Low"/>
    <x v="0"/>
    <x v="0"/>
    <x v="0"/>
    <s v="OK"/>
    <s v="Unique"/>
    <s v="Ready"/>
    <s v="Wadajir - Assault"/>
  </r>
  <r>
    <x v="250"/>
    <x v="198"/>
    <x v="1"/>
    <x v="1"/>
    <x v="2"/>
    <s v="Closed"/>
    <s v="High"/>
    <x v="1"/>
    <x v="0"/>
    <x v="0"/>
    <s v="OK"/>
    <s v="Unique"/>
    <s v="Ready"/>
    <s v="Yaqshid - Robbery"/>
  </r>
  <r>
    <x v="251"/>
    <x v="0"/>
    <x v="5"/>
    <x v="1"/>
    <x v="2"/>
    <s v="Open"/>
    <s v="Medium"/>
    <x v="0"/>
    <x v="0"/>
    <x v="0"/>
    <s v="OK"/>
    <s v="Unique"/>
    <s v="Ready"/>
    <s v="Hodan - Robbery"/>
  </r>
  <r>
    <x v="252"/>
    <x v="199"/>
    <x v="2"/>
    <x v="3"/>
    <x v="2"/>
    <s v="Under Investigation"/>
    <s v="Medium"/>
    <x v="0"/>
    <x v="3"/>
    <x v="3"/>
    <s v="OK"/>
    <s v="Unique"/>
    <s v="Ready"/>
    <s v="Wadajir - Fraud"/>
  </r>
  <r>
    <x v="253"/>
    <x v="200"/>
    <x v="2"/>
    <x v="5"/>
    <x v="0"/>
    <s v="Under Investigation"/>
    <s v="Medium"/>
    <x v="1"/>
    <x v="1"/>
    <x v="1"/>
    <s v="OK"/>
    <s v="Unique"/>
    <s v="Ready"/>
    <s v="Yaqshid - Burglary"/>
  </r>
  <r>
    <x v="254"/>
    <x v="201"/>
    <x v="5"/>
    <x v="1"/>
    <x v="0"/>
    <s v="Under Investigation"/>
    <s v="Medium"/>
    <x v="0"/>
    <x v="0"/>
    <x v="0"/>
    <s v="OK"/>
    <s v="Unique"/>
    <s v="Ready"/>
    <s v="Wadajir - Assault"/>
  </r>
  <r>
    <x v="255"/>
    <x v="202"/>
    <x v="2"/>
    <x v="1"/>
    <x v="0"/>
    <s v="Closed"/>
    <s v="Medium"/>
    <x v="0"/>
    <x v="6"/>
    <x v="6"/>
    <s v="OK"/>
    <s v="Unique"/>
    <s v="Ready"/>
    <s v="Daynile - Fraud"/>
  </r>
  <r>
    <x v="256"/>
    <x v="0"/>
    <x v="3"/>
    <x v="0"/>
    <x v="0"/>
    <s v="Open"/>
    <s v="Low"/>
    <x v="0"/>
    <x v="0"/>
    <x v="0"/>
    <s v="OK"/>
    <s v="Unique"/>
    <s v="Ready"/>
    <s v="Daynile - Theft"/>
  </r>
  <r>
    <x v="257"/>
    <x v="0"/>
    <x v="1"/>
    <x v="1"/>
    <x v="0"/>
    <s v="Open"/>
    <s v="High"/>
    <x v="0"/>
    <x v="0"/>
    <x v="0"/>
    <s v="OK"/>
    <s v="Unique"/>
    <s v="Ready"/>
    <s v="Yaqshid - Theft"/>
  </r>
  <r>
    <x v="258"/>
    <x v="200"/>
    <x v="3"/>
    <x v="5"/>
    <x v="0"/>
    <s v="Under Investigation"/>
    <s v="Low"/>
    <x v="1"/>
    <x v="1"/>
    <x v="1"/>
    <s v="OK"/>
    <s v="Unique"/>
    <s v="Ready"/>
    <s v="Yaqshid - Fraud"/>
  </r>
  <r>
    <x v="259"/>
    <x v="125"/>
    <x v="5"/>
    <x v="1"/>
    <x v="0"/>
    <s v="Under Investigation"/>
    <s v="Medium"/>
    <x v="0"/>
    <x v="6"/>
    <x v="6"/>
    <s v="OK"/>
    <s v="Unique"/>
    <s v="Ready"/>
    <s v="Hodan - Theft"/>
  </r>
  <r>
    <x v="260"/>
    <x v="203"/>
    <x v="1"/>
    <x v="4"/>
    <x v="2"/>
    <s v="Under Investigation"/>
    <s v="High"/>
    <x v="0"/>
    <x v="5"/>
    <x v="5"/>
    <s v="OK"/>
    <s v="Unique"/>
    <s v="Ready"/>
    <s v="Karan - Theft"/>
  </r>
  <r>
    <x v="261"/>
    <x v="204"/>
    <x v="5"/>
    <x v="4"/>
    <x v="0"/>
    <s v="Open"/>
    <s v="Medium"/>
    <x v="1"/>
    <x v="11"/>
    <x v="11"/>
    <s v="OK"/>
    <s v="Unique"/>
    <s v="Ready"/>
    <s v="Karan - Traffic Offense"/>
  </r>
  <r>
    <x v="262"/>
    <x v="120"/>
    <x v="5"/>
    <x v="1"/>
    <x v="1"/>
    <s v="Open"/>
    <s v="Medium"/>
    <x v="1"/>
    <x v="5"/>
    <x v="5"/>
    <s v="Needs Review"/>
    <s v="Unique"/>
    <s v="Review"/>
    <s v="Yaqshid - Traffic Offense"/>
  </r>
  <r>
    <x v="263"/>
    <x v="205"/>
    <x v="5"/>
    <x v="3"/>
    <x v="0"/>
    <s v="Referred"/>
    <s v="Medium"/>
    <x v="1"/>
    <x v="11"/>
    <x v="11"/>
    <s v="OK"/>
    <s v="Unique"/>
    <s v="Ready"/>
    <s v="Wadajir - Fraud"/>
  </r>
  <r>
    <x v="264"/>
    <x v="206"/>
    <x v="5"/>
    <x v="3"/>
    <x v="0"/>
    <s v="Under Investigation"/>
    <s v="Medium"/>
    <x v="1"/>
    <x v="5"/>
    <x v="5"/>
    <s v="OK"/>
    <s v="Unique"/>
    <s v="Ready"/>
    <s v="Daynile - Traffic Offense"/>
  </r>
  <r>
    <x v="265"/>
    <x v="207"/>
    <x v="0"/>
    <x v="1"/>
    <x v="0"/>
    <s v="Under Investigation"/>
    <s v="High"/>
    <x v="1"/>
    <x v="10"/>
    <x v="10"/>
    <s v="OK"/>
    <s v="Unique"/>
    <s v="Ready"/>
    <s v="Wadajir - Robbery"/>
  </r>
  <r>
    <x v="266"/>
    <x v="208"/>
    <x v="2"/>
    <x v="1"/>
    <x v="0"/>
    <s v="Closed"/>
    <s v="Medium"/>
    <x v="1"/>
    <x v="4"/>
    <x v="4"/>
    <s v="OK"/>
    <s v="Unique"/>
    <s v="Ready"/>
    <s v="Daynile - Assault"/>
  </r>
  <r>
    <x v="267"/>
    <x v="209"/>
    <x v="0"/>
    <x v="1"/>
    <x v="0"/>
    <s v="Closed"/>
    <s v="High"/>
    <x v="1"/>
    <x v="6"/>
    <x v="6"/>
    <s v="OK"/>
    <s v="Unique"/>
    <s v="Ready"/>
    <s v="Yaqshid - Assault"/>
  </r>
  <r>
    <x v="268"/>
    <x v="199"/>
    <x v="1"/>
    <x v="0"/>
    <x v="2"/>
    <s v="Under Investigation"/>
    <s v="High"/>
    <x v="0"/>
    <x v="3"/>
    <x v="3"/>
    <s v="OK"/>
    <s v="Unique"/>
    <s v="Ready"/>
    <s v="Yaqshid - Fraud"/>
  </r>
  <r>
    <x v="269"/>
    <x v="210"/>
    <x v="1"/>
    <x v="4"/>
    <x v="0"/>
    <s v="Closed"/>
    <s v="High"/>
    <x v="1"/>
    <x v="5"/>
    <x v="5"/>
    <s v="OK"/>
    <s v="Unique"/>
    <s v="Ready"/>
    <s v="Wadajir - Assault"/>
  </r>
  <r>
    <x v="270"/>
    <x v="211"/>
    <x v="3"/>
    <x v="0"/>
    <x v="0"/>
    <s v="Referred"/>
    <s v="Low"/>
    <x v="0"/>
    <x v="1"/>
    <x v="1"/>
    <s v="OK"/>
    <s v="Unique"/>
    <s v="Ready"/>
    <s v="Yaqshid - Fraud"/>
  </r>
  <r>
    <x v="271"/>
    <x v="212"/>
    <x v="3"/>
    <x v="2"/>
    <x v="0"/>
    <s v="Closed"/>
    <s v="Low"/>
    <x v="1"/>
    <x v="9"/>
    <x v="9"/>
    <s v="OK"/>
    <s v="Unique"/>
    <s v="Ready"/>
    <s v="Yaqshid - Burglary"/>
  </r>
  <r>
    <x v="272"/>
    <x v="213"/>
    <x v="0"/>
    <x v="1"/>
    <x v="0"/>
    <s v="Open"/>
    <s v="High"/>
    <x v="0"/>
    <x v="10"/>
    <x v="10"/>
    <s v="OK"/>
    <s v="Unique"/>
    <s v="Ready"/>
    <s v="Waberi - Traffic Offense"/>
  </r>
  <r>
    <x v="273"/>
    <x v="214"/>
    <x v="5"/>
    <x v="3"/>
    <x v="0"/>
    <s v="Referred"/>
    <s v="Medium"/>
    <x v="0"/>
    <x v="10"/>
    <x v="10"/>
    <s v="OK"/>
    <s v="Unique"/>
    <s v="Ready"/>
    <s v="Karan - Traffic Offense"/>
  </r>
  <r>
    <x v="274"/>
    <x v="215"/>
    <x v="1"/>
    <x v="3"/>
    <x v="0"/>
    <s v="Under Investigation"/>
    <s v="High"/>
    <x v="1"/>
    <x v="1"/>
    <x v="1"/>
    <s v="OK"/>
    <s v="Unique"/>
    <s v="Ready"/>
    <s v="Wadajir - Theft"/>
  </r>
  <r>
    <x v="275"/>
    <x v="216"/>
    <x v="2"/>
    <x v="0"/>
    <x v="0"/>
    <s v="Under Investigation"/>
    <s v="Medium"/>
    <x v="1"/>
    <x v="7"/>
    <x v="7"/>
    <s v="OK"/>
    <s v="Unique"/>
    <s v="Ready"/>
    <s v="Wadajir - Robbery"/>
  </r>
  <r>
    <x v="276"/>
    <x v="208"/>
    <x v="1"/>
    <x v="0"/>
    <x v="0"/>
    <s v="Under Investigation"/>
    <s v="High"/>
    <x v="1"/>
    <x v="4"/>
    <x v="4"/>
    <s v="OK"/>
    <s v="Unique"/>
    <s v="Ready"/>
    <s v="Waberi - Traffic Offense"/>
  </r>
  <r>
    <x v="277"/>
    <x v="217"/>
    <x v="5"/>
    <x v="3"/>
    <x v="0"/>
    <s v="Open"/>
    <s v="Medium"/>
    <x v="1"/>
    <x v="0"/>
    <x v="0"/>
    <s v="OK"/>
    <s v="Unique"/>
    <s v="Ready"/>
    <s v="Yaqshid - Theft"/>
  </r>
  <r>
    <x v="278"/>
    <x v="218"/>
    <x v="0"/>
    <x v="3"/>
    <x v="1"/>
    <s v="Closed"/>
    <s v="High"/>
    <x v="0"/>
    <x v="1"/>
    <x v="1"/>
    <s v="Needs Review"/>
    <s v="Unique"/>
    <s v="Review"/>
    <s v="Wadajir - Robbery"/>
  </r>
  <r>
    <x v="279"/>
    <x v="98"/>
    <x v="2"/>
    <x v="2"/>
    <x v="2"/>
    <s v="Referred"/>
    <s v="Medium"/>
    <x v="1"/>
    <x v="8"/>
    <x v="8"/>
    <s v="OK"/>
    <s v="Unique"/>
    <s v="Ready"/>
    <s v="Hodan - Traffic Offense"/>
  </r>
  <r>
    <x v="280"/>
    <x v="219"/>
    <x v="5"/>
    <x v="2"/>
    <x v="2"/>
    <s v="Open"/>
    <s v="Medium"/>
    <x v="1"/>
    <x v="11"/>
    <x v="11"/>
    <s v="OK"/>
    <s v="Unique"/>
    <s v="Ready"/>
    <s v="Yaqshid - Fraud"/>
  </r>
  <r>
    <x v="281"/>
    <x v="220"/>
    <x v="1"/>
    <x v="0"/>
    <x v="1"/>
    <s v="Open"/>
    <s v="High"/>
    <x v="0"/>
    <x v="0"/>
    <x v="0"/>
    <s v="Needs Review"/>
    <s v="Unique"/>
    <s v="Review"/>
    <s v="Wadajir - Assault"/>
  </r>
  <r>
    <x v="282"/>
    <x v="221"/>
    <x v="0"/>
    <x v="1"/>
    <x v="0"/>
    <s v="Under Investigation"/>
    <s v="High"/>
    <x v="1"/>
    <x v="9"/>
    <x v="9"/>
    <s v="OK"/>
    <s v="Unique"/>
    <s v="Ready"/>
    <s v="Hodan - Burglary"/>
  </r>
  <r>
    <x v="283"/>
    <x v="222"/>
    <x v="5"/>
    <x v="1"/>
    <x v="2"/>
    <s v="Open"/>
    <s v="Medium"/>
    <x v="0"/>
    <x v="0"/>
    <x v="0"/>
    <s v="OK"/>
    <s v="Unique"/>
    <s v="Ready"/>
    <s v="Yaqshid - Robbery"/>
  </r>
  <r>
    <x v="284"/>
    <x v="150"/>
    <x v="2"/>
    <x v="1"/>
    <x v="1"/>
    <s v="Under Investigation"/>
    <s v="Medium"/>
    <x v="1"/>
    <x v="6"/>
    <x v="6"/>
    <s v="Needs Review"/>
    <s v="Unique"/>
    <s v="Review"/>
    <s v="Hodan - Theft"/>
  </r>
  <r>
    <x v="285"/>
    <x v="223"/>
    <x v="5"/>
    <x v="3"/>
    <x v="2"/>
    <s v="Closed"/>
    <s v="Medium"/>
    <x v="1"/>
    <x v="0"/>
    <x v="0"/>
    <s v="OK"/>
    <s v="Unique"/>
    <s v="Ready"/>
    <s v="Daynile - Fraud"/>
  </r>
  <r>
    <x v="286"/>
    <x v="181"/>
    <x v="2"/>
    <x v="0"/>
    <x v="2"/>
    <s v="Open"/>
    <s v="Medium"/>
    <x v="1"/>
    <x v="9"/>
    <x v="9"/>
    <s v="OK"/>
    <s v="Unique"/>
    <s v="Ready"/>
    <s v="Yaqshid - Fraud"/>
  </r>
  <r>
    <x v="287"/>
    <x v="224"/>
    <x v="0"/>
    <x v="1"/>
    <x v="0"/>
    <s v="Open"/>
    <s v="High"/>
    <x v="1"/>
    <x v="8"/>
    <x v="8"/>
    <s v="OK"/>
    <s v="Unique"/>
    <s v="Ready"/>
    <s v="Hodan - Robbery"/>
  </r>
  <r>
    <x v="288"/>
    <x v="225"/>
    <x v="2"/>
    <x v="5"/>
    <x v="0"/>
    <s v="Open"/>
    <s v="Medium"/>
    <x v="0"/>
    <x v="0"/>
    <x v="0"/>
    <s v="OK"/>
    <s v="Unique"/>
    <s v="Ready"/>
    <s v="Hodan - Fraud"/>
  </r>
  <r>
    <x v="289"/>
    <x v="226"/>
    <x v="4"/>
    <x v="0"/>
    <x v="0"/>
    <s v="Open"/>
    <s v="Medium"/>
    <x v="1"/>
    <x v="4"/>
    <x v="4"/>
    <s v="OK"/>
    <s v="Unique"/>
    <s v="Ready"/>
    <s v="Hodan - Traffic Offense"/>
  </r>
  <r>
    <x v="290"/>
    <x v="216"/>
    <x v="0"/>
    <x v="4"/>
    <x v="2"/>
    <s v="Open"/>
    <s v="High"/>
    <x v="1"/>
    <x v="7"/>
    <x v="7"/>
    <s v="OK"/>
    <s v="Unique"/>
    <s v="Ready"/>
    <s v="Wadajir - Theft"/>
  </r>
  <r>
    <x v="291"/>
    <x v="198"/>
    <x v="5"/>
    <x v="1"/>
    <x v="0"/>
    <s v="Under Investigation"/>
    <s v="Medium"/>
    <x v="1"/>
    <x v="0"/>
    <x v="0"/>
    <s v="OK"/>
    <s v="Unique"/>
    <s v="Ready"/>
    <s v="Hodan - Theft"/>
  </r>
  <r>
    <x v="292"/>
    <x v="227"/>
    <x v="3"/>
    <x v="1"/>
    <x v="2"/>
    <s v="Open"/>
    <s v="High"/>
    <x v="2"/>
    <x v="12"/>
    <x v="12"/>
    <s v="Needs Review"/>
    <s v="Unique"/>
    <s v="Review"/>
    <s v="Hodan - Traffic Offens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B04456-6D70-430D-9A12-7069B8C5B7EB}"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7:G22" firstHeaderRow="1" firstDataRow="1" firstDataCol="1"/>
  <pivotFields count="14">
    <pivotField dataField="1" showAll="0"/>
    <pivotField showAll="0"/>
    <pivotField showAll="0"/>
    <pivotField showAll="0"/>
    <pivotField showAll="0"/>
    <pivotField axis="axisRow" showAll="0">
      <items count="5">
        <item x="1"/>
        <item x="0"/>
        <item x="2"/>
        <item x="3"/>
        <item t="default"/>
      </items>
    </pivotField>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Count of Crime_ID" fld="0" subtotal="count" baseField="0" baseItem="0"/>
  </dataFields>
  <formats count="13">
    <format dxfId="31">
      <pivotArea type="all" dataOnly="0" outline="0" fieldPosition="0"/>
    </format>
    <format dxfId="30">
      <pivotArea outline="0" collapsedLevelsAreSubtotals="1" fieldPosition="0"/>
    </format>
    <format dxfId="29">
      <pivotArea field="5" type="button" dataOnly="0" labelOnly="1" outline="0" axis="axisRow" fieldPosition="0"/>
    </format>
    <format dxfId="28">
      <pivotArea dataOnly="0" labelOnly="1" fieldPosition="0">
        <references count="1">
          <reference field="5" count="0"/>
        </references>
      </pivotArea>
    </format>
    <format dxfId="27">
      <pivotArea dataOnly="0" labelOnly="1" grandRow="1" outline="0" fieldPosition="0"/>
    </format>
    <format dxfId="26">
      <pivotArea dataOnly="0" labelOnly="1" outline="0" axis="axisValues" fieldPosition="0"/>
    </format>
    <format dxfId="25">
      <pivotArea dataOnly="0" labelOnly="1" fieldPosition="0">
        <references count="1">
          <reference field="5" count="0"/>
        </references>
      </pivotArea>
    </format>
    <format dxfId="24">
      <pivotArea dataOnly="0" outline="0" axis="axisValues" fieldPosition="0"/>
    </format>
    <format dxfId="23">
      <pivotArea dataOnly="0" labelOnly="1" grandRow="1" outline="0" fieldPosition="0"/>
    </format>
    <format dxfId="22">
      <pivotArea grandRow="1" outline="0" collapsedLevelsAreSubtotals="1" fieldPosition="0"/>
    </format>
    <format dxfId="21">
      <pivotArea field="5" type="button" dataOnly="0" labelOnly="1" outline="0" axis="axisRow" fieldPosition="0"/>
    </format>
    <format dxfId="20">
      <pivotArea dataOnly="0" labelOnly="1" outline="0" axis="axisValues" fieldPosition="0"/>
    </format>
    <format dxfId="19">
      <pivotArea field="5" dataOnly="0" grandRow="1" axis="axisRow" fieldPosition="0">
        <references count="1">
          <reference field="5"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8799B0-5031-455C-988D-63E76F433883}"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21" firstHeaderRow="1" firstDataRow="1" firstDataCol="1"/>
  <pivotFields count="14">
    <pivotField dataField="1"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Crime_ID" fld="0" subtotal="count" baseField="0" baseItem="0"/>
  </dataFields>
  <formats count="13">
    <format dxfId="44">
      <pivotArea type="all" dataOnly="0" outline="0" fieldPosition="0"/>
    </format>
    <format dxfId="43">
      <pivotArea outline="0" collapsedLevelsAreSubtotals="1" fieldPosition="0"/>
    </format>
    <format dxfId="42">
      <pivotArea field="4" type="button" dataOnly="0" labelOnly="1" outline="0" axis="axisRow" fieldPosition="0"/>
    </format>
    <format dxfId="41">
      <pivotArea dataOnly="0" labelOnly="1" fieldPosition="0">
        <references count="1">
          <reference field="4" count="0"/>
        </references>
      </pivotArea>
    </format>
    <format dxfId="40">
      <pivotArea dataOnly="0" labelOnly="1" grandRow="1" outline="0" fieldPosition="0"/>
    </format>
    <format dxfId="39">
      <pivotArea dataOnly="0" labelOnly="1" outline="0" axis="axisValues" fieldPosition="0"/>
    </format>
    <format dxfId="38">
      <pivotArea dataOnly="0" labelOnly="1" fieldPosition="0">
        <references count="1">
          <reference field="4" count="0"/>
        </references>
      </pivotArea>
    </format>
    <format dxfId="37">
      <pivotArea dataOnly="0" outline="0" axis="axisValues" fieldPosition="0"/>
    </format>
    <format dxfId="36">
      <pivotArea dataOnly="0" labelOnly="1" grandRow="1" outline="0" fieldPosition="0"/>
    </format>
    <format dxfId="35">
      <pivotArea grandRow="1" outline="0" collapsedLevelsAreSubtotals="1" fieldPosition="0"/>
    </format>
    <format dxfId="34">
      <pivotArea field="4" type="button" dataOnly="0" labelOnly="1" outline="0" axis="axisRow" fieldPosition="0"/>
    </format>
    <format dxfId="33">
      <pivotArea dataOnly="0" labelOnly="1" outline="0" axis="axisValues" fieldPosition="0"/>
    </format>
    <format dxfId="32">
      <pivotArea field="4" dataOnly="0" grandRow="1" axis="axisRow" fieldPosition="0">
        <references count="1">
          <reference field="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E3124B-13E4-4768-A4AF-A230B6D6B2BA}"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5:I12" firstHeaderRow="1" firstDataRow="1" firstDataCol="1"/>
  <pivotFields count="17">
    <pivotField dataField="1" showAll="0"/>
    <pivotField showAll="0">
      <items count="229">
        <item x="39"/>
        <item x="71"/>
        <item x="115"/>
        <item x="99"/>
        <item x="132"/>
        <item x="145"/>
        <item x="49"/>
        <item x="21"/>
        <item x="187"/>
        <item x="173"/>
        <item x="111"/>
        <item x="190"/>
        <item x="178"/>
        <item x="76"/>
        <item x="89"/>
        <item x="206"/>
        <item x="37"/>
        <item x="185"/>
        <item x="210"/>
        <item x="62"/>
        <item x="120"/>
        <item x="17"/>
        <item x="41"/>
        <item x="54"/>
        <item x="136"/>
        <item x="93"/>
        <item x="160"/>
        <item x="61"/>
        <item x="207"/>
        <item x="20"/>
        <item x="59"/>
        <item x="186"/>
        <item x="10"/>
        <item x="150"/>
        <item x="81"/>
        <item x="57"/>
        <item x="51"/>
        <item x="95"/>
        <item x="108"/>
        <item x="107"/>
        <item x="52"/>
        <item x="209"/>
        <item x="38"/>
        <item x="36"/>
        <item x="208"/>
        <item x="163"/>
        <item x="157"/>
        <item x="226"/>
        <item x="144"/>
        <item x="96"/>
        <item x="114"/>
        <item x="166"/>
        <item x="215"/>
        <item x="200"/>
        <item x="1"/>
        <item x="97"/>
        <item x="25"/>
        <item x="109"/>
        <item x="174"/>
        <item x="90"/>
        <item x="3"/>
        <item x="82"/>
        <item x="65"/>
        <item x="27"/>
        <item x="105"/>
        <item x="198"/>
        <item x="189"/>
        <item x="7"/>
        <item x="77"/>
        <item x="223"/>
        <item x="104"/>
        <item x="217"/>
        <item x="50"/>
        <item x="147"/>
        <item x="137"/>
        <item x="183"/>
        <item x="78"/>
        <item x="152"/>
        <item x="42"/>
        <item x="219"/>
        <item x="128"/>
        <item x="31"/>
        <item x="205"/>
        <item x="86"/>
        <item x="22"/>
        <item x="161"/>
        <item x="182"/>
        <item x="180"/>
        <item x="155"/>
        <item x="204"/>
        <item x="63"/>
        <item x="98"/>
        <item x="75"/>
        <item x="188"/>
        <item x="171"/>
        <item x="15"/>
        <item x="26"/>
        <item x="121"/>
        <item x="191"/>
        <item x="196"/>
        <item x="79"/>
        <item x="83"/>
        <item x="224"/>
        <item x="170"/>
        <item x="216"/>
        <item x="23"/>
        <item x="117"/>
        <item x="58"/>
        <item x="24"/>
        <item x="34"/>
        <item x="13"/>
        <item x="119"/>
        <item x="159"/>
        <item x="68"/>
        <item x="221"/>
        <item x="100"/>
        <item x="212"/>
        <item x="148"/>
        <item x="80"/>
        <item x="116"/>
        <item x="19"/>
        <item x="151"/>
        <item x="181"/>
        <item x="176"/>
        <item x="14"/>
        <item x="169"/>
        <item x="106"/>
        <item x="172"/>
        <item x="177"/>
        <item x="146"/>
        <item x="28"/>
        <item x="194"/>
        <item x="195"/>
        <item x="2"/>
        <item x="126"/>
        <item x="72"/>
        <item x="103"/>
        <item x="101"/>
        <item x="142"/>
        <item x="46"/>
        <item x="29"/>
        <item x="5"/>
        <item x="40"/>
        <item x="35"/>
        <item x="179"/>
        <item x="4"/>
        <item x="12"/>
        <item x="124"/>
        <item x="199"/>
        <item x="138"/>
        <item x="60"/>
        <item x="45"/>
        <item x="33"/>
        <item x="18"/>
        <item x="73"/>
        <item x="165"/>
        <item x="9"/>
        <item x="92"/>
        <item x="158"/>
        <item x="48"/>
        <item x="74"/>
        <item x="64"/>
        <item x="129"/>
        <item x="53"/>
        <item x="203"/>
        <item x="213"/>
        <item x="131"/>
        <item x="214"/>
        <item x="167"/>
        <item x="56"/>
        <item x="134"/>
        <item x="84"/>
        <item x="154"/>
        <item x="67"/>
        <item x="125"/>
        <item x="32"/>
        <item x="85"/>
        <item x="202"/>
        <item x="168"/>
        <item x="143"/>
        <item x="162"/>
        <item x="156"/>
        <item x="110"/>
        <item x="47"/>
        <item x="88"/>
        <item x="175"/>
        <item x="55"/>
        <item x="141"/>
        <item x="70"/>
        <item x="44"/>
        <item x="127"/>
        <item x="133"/>
        <item x="135"/>
        <item x="112"/>
        <item x="122"/>
        <item x="91"/>
        <item x="6"/>
        <item x="118"/>
        <item x="11"/>
        <item x="30"/>
        <item x="66"/>
        <item x="130"/>
        <item x="153"/>
        <item x="113"/>
        <item x="16"/>
        <item x="43"/>
        <item x="94"/>
        <item x="211"/>
        <item x="87"/>
        <item x="139"/>
        <item x="218"/>
        <item x="8"/>
        <item x="184"/>
        <item x="193"/>
        <item x="123"/>
        <item x="225"/>
        <item x="0"/>
        <item x="164"/>
        <item x="197"/>
        <item x="201"/>
        <item x="102"/>
        <item x="69"/>
        <item x="222"/>
        <item x="192"/>
        <item x="220"/>
        <item x="140"/>
        <item x="149"/>
        <item x="227"/>
        <item t="default"/>
      </items>
    </pivotField>
    <pivotField showAll="0"/>
    <pivotField axis="axisRow" showAll="0">
      <items count="7">
        <item x="2"/>
        <item x="1"/>
        <item x="5"/>
        <item x="0"/>
        <item x="4"/>
        <item x="3"/>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7">
    <i>
      <x/>
    </i>
    <i>
      <x v="1"/>
    </i>
    <i>
      <x v="2"/>
    </i>
    <i>
      <x v="3"/>
    </i>
    <i>
      <x v="4"/>
    </i>
    <i>
      <x v="5"/>
    </i>
    <i t="grand">
      <x/>
    </i>
  </rowItems>
  <colItems count="1">
    <i/>
  </colItems>
  <dataFields count="1">
    <dataField name="Count of Crime_ID" fld="0" subtotal="count" baseField="0" baseItem="0"/>
  </dataFields>
  <formats count="14">
    <format dxfId="58">
      <pivotArea type="all" dataOnly="0" outline="0" fieldPosition="0"/>
    </format>
    <format dxfId="57">
      <pivotArea outline="0" collapsedLevelsAreSubtotals="1" fieldPosition="0"/>
    </format>
    <format dxfId="56">
      <pivotArea field="3" type="button" dataOnly="0" labelOnly="1" outline="0" axis="axisRow" fieldPosition="0"/>
    </format>
    <format dxfId="55">
      <pivotArea dataOnly="0" labelOnly="1" fieldPosition="0">
        <references count="1">
          <reference field="3" count="0"/>
        </references>
      </pivotArea>
    </format>
    <format dxfId="54">
      <pivotArea dataOnly="0" labelOnly="1" grandRow="1" outline="0" fieldPosition="0"/>
    </format>
    <format dxfId="53">
      <pivotArea dataOnly="0" labelOnly="1" outline="0" axis="axisValues" fieldPosition="0"/>
    </format>
    <format dxfId="52">
      <pivotArea dataOnly="0" labelOnly="1" fieldPosition="0">
        <references count="1">
          <reference field="3" count="0"/>
        </references>
      </pivotArea>
    </format>
    <format dxfId="51">
      <pivotArea dataOnly="0" outline="0" axis="axisValues" fieldPosition="0"/>
    </format>
    <format dxfId="50">
      <pivotArea dataOnly="0" labelOnly="1" grandRow="1" outline="0" fieldPosition="0"/>
    </format>
    <format dxfId="49">
      <pivotArea grandRow="1" outline="0" collapsedLevelsAreSubtotals="1" fieldPosition="0"/>
    </format>
    <format dxfId="48">
      <pivotArea field="3" type="button" dataOnly="0" labelOnly="1" outline="0" axis="axisRow" fieldPosition="0"/>
    </format>
    <format dxfId="47">
      <pivotArea dataOnly="0" labelOnly="1" outline="0" axis="axisValues" fieldPosition="0"/>
    </format>
    <format dxfId="46">
      <pivotArea collapsedLevelsAreSubtotals="1" fieldPosition="0">
        <references count="1">
          <reference field="3" count="0"/>
        </references>
      </pivotArea>
    </format>
    <format dxfId="45">
      <pivotArea dataOnly="0" grandRow="1" axis="axisRow"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885515-848F-4C1D-BA54-8E57290088E7}" name="PivotTable2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B43" firstHeaderRow="1" firstDataRow="1" firstDataCol="1"/>
  <pivotFields count="17">
    <pivotField showAll="0"/>
    <pivotField showAll="0">
      <items count="229">
        <item x="39"/>
        <item x="71"/>
        <item x="115"/>
        <item x="99"/>
        <item x="132"/>
        <item x="145"/>
        <item x="49"/>
        <item x="21"/>
        <item x="187"/>
        <item x="173"/>
        <item x="111"/>
        <item x="190"/>
        <item x="178"/>
        <item x="76"/>
        <item x="89"/>
        <item x="206"/>
        <item x="37"/>
        <item x="185"/>
        <item x="210"/>
        <item x="62"/>
        <item x="120"/>
        <item x="17"/>
        <item x="41"/>
        <item x="54"/>
        <item x="136"/>
        <item x="93"/>
        <item x="160"/>
        <item x="61"/>
        <item x="207"/>
        <item x="20"/>
        <item x="59"/>
        <item x="186"/>
        <item x="10"/>
        <item x="150"/>
        <item x="81"/>
        <item x="57"/>
        <item x="51"/>
        <item x="95"/>
        <item x="108"/>
        <item x="107"/>
        <item x="52"/>
        <item x="209"/>
        <item x="38"/>
        <item x="36"/>
        <item x="208"/>
        <item x="163"/>
        <item x="157"/>
        <item x="226"/>
        <item x="144"/>
        <item x="96"/>
        <item x="114"/>
        <item x="166"/>
        <item x="215"/>
        <item x="200"/>
        <item x="1"/>
        <item x="97"/>
        <item x="25"/>
        <item x="109"/>
        <item x="174"/>
        <item x="90"/>
        <item x="3"/>
        <item x="82"/>
        <item x="65"/>
        <item x="27"/>
        <item x="105"/>
        <item x="198"/>
        <item x="189"/>
        <item x="7"/>
        <item x="77"/>
        <item x="223"/>
        <item x="104"/>
        <item x="217"/>
        <item x="50"/>
        <item x="147"/>
        <item x="137"/>
        <item x="183"/>
        <item x="78"/>
        <item x="152"/>
        <item x="42"/>
        <item x="219"/>
        <item x="128"/>
        <item x="31"/>
        <item x="205"/>
        <item x="86"/>
        <item x="22"/>
        <item x="161"/>
        <item x="182"/>
        <item x="180"/>
        <item x="155"/>
        <item x="204"/>
        <item x="63"/>
        <item x="98"/>
        <item x="75"/>
        <item x="188"/>
        <item x="171"/>
        <item x="15"/>
        <item x="26"/>
        <item x="121"/>
        <item x="191"/>
        <item x="196"/>
        <item x="79"/>
        <item x="83"/>
        <item x="224"/>
        <item x="170"/>
        <item x="216"/>
        <item x="23"/>
        <item x="117"/>
        <item x="58"/>
        <item x="24"/>
        <item x="34"/>
        <item x="13"/>
        <item x="119"/>
        <item x="159"/>
        <item x="68"/>
        <item x="221"/>
        <item x="100"/>
        <item x="212"/>
        <item x="148"/>
        <item x="80"/>
        <item x="116"/>
        <item x="19"/>
        <item x="151"/>
        <item x="181"/>
        <item x="176"/>
        <item x="14"/>
        <item x="169"/>
        <item x="106"/>
        <item x="172"/>
        <item x="177"/>
        <item x="146"/>
        <item x="28"/>
        <item x="194"/>
        <item x="195"/>
        <item x="2"/>
        <item x="126"/>
        <item x="72"/>
        <item x="103"/>
        <item x="101"/>
        <item x="142"/>
        <item x="46"/>
        <item x="29"/>
        <item x="5"/>
        <item x="40"/>
        <item x="35"/>
        <item x="179"/>
        <item x="4"/>
        <item x="12"/>
        <item x="124"/>
        <item x="199"/>
        <item x="138"/>
        <item x="60"/>
        <item x="45"/>
        <item x="33"/>
        <item x="18"/>
        <item x="73"/>
        <item x="165"/>
        <item x="9"/>
        <item x="92"/>
        <item x="158"/>
        <item x="48"/>
        <item x="74"/>
        <item x="64"/>
        <item x="129"/>
        <item x="53"/>
        <item x="203"/>
        <item x="213"/>
        <item x="131"/>
        <item x="214"/>
        <item x="167"/>
        <item x="56"/>
        <item x="134"/>
        <item x="84"/>
        <item x="154"/>
        <item x="67"/>
        <item x="125"/>
        <item x="32"/>
        <item x="85"/>
        <item x="202"/>
        <item x="168"/>
        <item x="143"/>
        <item x="162"/>
        <item x="156"/>
        <item x="110"/>
        <item x="47"/>
        <item x="88"/>
        <item x="175"/>
        <item x="55"/>
        <item x="141"/>
        <item x="70"/>
        <item x="44"/>
        <item x="127"/>
        <item x="133"/>
        <item x="135"/>
        <item x="112"/>
        <item x="122"/>
        <item x="91"/>
        <item x="6"/>
        <item x="118"/>
        <item x="11"/>
        <item x="30"/>
        <item x="66"/>
        <item x="130"/>
        <item x="153"/>
        <item x="113"/>
        <item x="16"/>
        <item x="43"/>
        <item x="94"/>
        <item x="211"/>
        <item x="87"/>
        <item x="139"/>
        <item x="218"/>
        <item x="8"/>
        <item x="184"/>
        <item x="193"/>
        <item x="123"/>
        <item x="225"/>
        <item x="0"/>
        <item x="164"/>
        <item x="197"/>
        <item x="201"/>
        <item x="102"/>
        <item x="69"/>
        <item x="222"/>
        <item x="192"/>
        <item x="220"/>
        <item x="140"/>
        <item x="149"/>
        <item x="227"/>
        <item t="default"/>
      </items>
    </pivotField>
    <pivotField showAll="0"/>
    <pivotField showAll="0"/>
    <pivotField showAll="0"/>
    <pivotField showAll="0"/>
    <pivotField showAll="0"/>
    <pivotField axis="axisRow" dataField="1" showAll="0">
      <items count="4">
        <item x="1"/>
        <item x="0"/>
        <item x="2"/>
        <item t="default"/>
      </items>
    </pivotField>
    <pivotField showAll="0">
      <items count="14">
        <item sd="0" x="3"/>
        <item sd="0" x="5"/>
        <item sd="0" x="10"/>
        <item sd="0" x="6"/>
        <item sd="0" x="4"/>
        <item sd="0" x="1"/>
        <item sd="0" x="0"/>
        <item sd="0" x="11"/>
        <item sd="0" x="8"/>
        <item sd="0" x="7"/>
        <item sd="0" x="9"/>
        <item sd="0" x="2"/>
        <item sd="0" x="12"/>
        <item t="default" sd="0"/>
      </items>
    </pivotField>
    <pivotField showAll="0">
      <items count="14">
        <item x="3"/>
        <item x="5"/>
        <item x="10"/>
        <item x="6"/>
        <item x="4"/>
        <item x="1"/>
        <item x="0"/>
        <item x="11"/>
        <item x="8"/>
        <item x="7"/>
        <item x="9"/>
        <item x="2"/>
        <item x="1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4">
    <i>
      <x/>
    </i>
    <i>
      <x v="1"/>
    </i>
    <i>
      <x v="2"/>
    </i>
    <i t="grand">
      <x/>
    </i>
  </rowItems>
  <colItems count="1">
    <i/>
  </colItems>
  <dataFields count="1">
    <dataField name="Count of Crime_Year" fld="7" subtotal="count" baseField="0" baseItem="0"/>
  </dataFields>
  <formats count="14">
    <format dxfId="72">
      <pivotArea type="all" dataOnly="0" outline="0" fieldPosition="0"/>
    </format>
    <format dxfId="71">
      <pivotArea outline="0" collapsedLevelsAreSubtotals="1" fieldPosition="0"/>
    </format>
    <format dxfId="70">
      <pivotArea field="7" type="button" dataOnly="0" labelOnly="1" outline="0" axis="axisRow" fieldPosition="0"/>
    </format>
    <format dxfId="69">
      <pivotArea dataOnly="0" labelOnly="1" fieldPosition="0">
        <references count="1">
          <reference field="7" count="0"/>
        </references>
      </pivotArea>
    </format>
    <format dxfId="68">
      <pivotArea dataOnly="0" labelOnly="1" grandRow="1" outline="0" fieldPosition="0"/>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dataOnly="0" labelOnly="1" fieldPosition="0">
        <references count="1">
          <reference field="7" count="0"/>
        </references>
      </pivotArea>
    </format>
    <format dxfId="63">
      <pivotArea grandRow="1" outline="0" collapsedLevelsAreSubtotals="1" fieldPosition="0"/>
    </format>
    <format dxfId="62">
      <pivotArea dataOnly="0" labelOnly="1" grandRow="1" outline="0" fieldPosition="0"/>
    </format>
    <format dxfId="61">
      <pivotArea field="7" type="button" dataOnly="0" labelOnly="1" outline="0" axis="axisRow" fieldPosition="0"/>
    </format>
    <format dxfId="60">
      <pivotArea dataOnly="0" labelOnly="1" outline="0" axis="axisValues" fieldPosition="0"/>
    </format>
    <format dxfId="59">
      <pivotArea dataOnly="0" grandRow="1"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D78416-172E-4D77-BE2E-9CDDCC1FD512}"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B33" firstHeaderRow="1" firstDataRow="1" firstDataCol="1"/>
  <pivotFields count="14">
    <pivotField dataField="1"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Count of Crime_ID" fld="0" subtotal="count" baseField="0" baseItem="0"/>
  </dataFields>
  <formats count="14">
    <format dxfId="86">
      <pivotArea type="all" dataOnly="0" outline="0" fieldPosition="0"/>
    </format>
    <format dxfId="85">
      <pivotArea outline="0" collapsedLevelsAreSubtotals="1" fieldPosition="0"/>
    </format>
    <format dxfId="84">
      <pivotArea field="6" type="button" dataOnly="0" labelOnly="1" outline="0" axis="axisRow" fieldPosition="0"/>
    </format>
    <format dxfId="83">
      <pivotArea dataOnly="0" labelOnly="1" fieldPosition="0">
        <references count="1">
          <reference field="6" count="0"/>
        </references>
      </pivotArea>
    </format>
    <format dxfId="82">
      <pivotArea dataOnly="0" labelOnly="1" grandRow="1" outline="0" fieldPosition="0"/>
    </format>
    <format dxfId="81">
      <pivotArea dataOnly="0" labelOnly="1" outline="0" axis="axisValues" fieldPosition="0"/>
    </format>
    <format dxfId="80">
      <pivotArea type="all" dataOnly="0" outline="0" fieldPosition="0"/>
    </format>
    <format dxfId="79">
      <pivotArea outline="0" collapsedLevelsAreSubtotals="1" fieldPosition="0"/>
    </format>
    <format dxfId="78">
      <pivotArea dataOnly="0" labelOnly="1" fieldPosition="0">
        <references count="1">
          <reference field="6" count="0"/>
        </references>
      </pivotArea>
    </format>
    <format dxfId="77">
      <pivotArea grandRow="1" outline="0" collapsedLevelsAreSubtotals="1" fieldPosition="0"/>
    </format>
    <format dxfId="76">
      <pivotArea dataOnly="0" labelOnly="1" grandRow="1" outline="0" fieldPosition="0"/>
    </format>
    <format dxfId="75">
      <pivotArea field="6" type="button" dataOnly="0" labelOnly="1" outline="0" axis="axisRow" fieldPosition="0"/>
    </format>
    <format dxfId="74">
      <pivotArea dataOnly="0" labelOnly="1" outline="0" axis="axisValues" fieldPosition="0"/>
    </format>
    <format dxfId="73">
      <pivotArea field="6" dataOnly="0" grandRow="1" axis="axisRow"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8C1D72-9852-40A6-8CDC-84300E0AFB6E}"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3:G61" firstHeaderRow="1" firstDataRow="2" firstDataCol="1"/>
  <pivotFields count="17">
    <pivotField showAll="0"/>
    <pivotField showAll="0">
      <items count="229">
        <item x="39"/>
        <item x="71"/>
        <item x="115"/>
        <item x="99"/>
        <item x="132"/>
        <item x="145"/>
        <item x="49"/>
        <item x="21"/>
        <item x="187"/>
        <item x="173"/>
        <item x="111"/>
        <item x="190"/>
        <item x="178"/>
        <item x="76"/>
        <item x="89"/>
        <item x="206"/>
        <item x="37"/>
        <item x="185"/>
        <item x="210"/>
        <item x="62"/>
        <item x="120"/>
        <item x="17"/>
        <item x="41"/>
        <item x="54"/>
        <item x="136"/>
        <item x="93"/>
        <item x="160"/>
        <item x="61"/>
        <item x="207"/>
        <item x="20"/>
        <item x="59"/>
        <item x="186"/>
        <item x="10"/>
        <item x="150"/>
        <item x="81"/>
        <item x="57"/>
        <item x="51"/>
        <item x="95"/>
        <item x="108"/>
        <item x="107"/>
        <item x="52"/>
        <item x="209"/>
        <item x="38"/>
        <item x="36"/>
        <item x="208"/>
        <item x="163"/>
        <item x="157"/>
        <item x="226"/>
        <item x="144"/>
        <item x="96"/>
        <item x="114"/>
        <item x="166"/>
        <item x="215"/>
        <item x="200"/>
        <item x="1"/>
        <item x="97"/>
        <item x="25"/>
        <item x="109"/>
        <item x="174"/>
        <item x="90"/>
        <item x="3"/>
        <item x="82"/>
        <item x="65"/>
        <item x="27"/>
        <item x="105"/>
        <item x="198"/>
        <item x="189"/>
        <item x="7"/>
        <item x="77"/>
        <item x="223"/>
        <item x="104"/>
        <item x="217"/>
        <item x="50"/>
        <item x="147"/>
        <item x="137"/>
        <item x="183"/>
        <item x="78"/>
        <item x="152"/>
        <item x="42"/>
        <item x="219"/>
        <item x="128"/>
        <item x="31"/>
        <item x="205"/>
        <item x="86"/>
        <item x="22"/>
        <item x="161"/>
        <item x="182"/>
        <item x="180"/>
        <item x="155"/>
        <item x="204"/>
        <item x="63"/>
        <item x="98"/>
        <item x="75"/>
        <item x="188"/>
        <item x="171"/>
        <item x="15"/>
        <item x="26"/>
        <item x="121"/>
        <item x="191"/>
        <item x="196"/>
        <item x="79"/>
        <item x="83"/>
        <item x="224"/>
        <item x="170"/>
        <item x="216"/>
        <item x="23"/>
        <item x="117"/>
        <item x="58"/>
        <item x="24"/>
        <item x="34"/>
        <item x="13"/>
        <item x="119"/>
        <item x="159"/>
        <item x="68"/>
        <item x="221"/>
        <item x="100"/>
        <item x="212"/>
        <item x="148"/>
        <item x="80"/>
        <item x="116"/>
        <item x="19"/>
        <item x="151"/>
        <item x="181"/>
        <item x="176"/>
        <item x="14"/>
        <item x="169"/>
        <item x="106"/>
        <item x="172"/>
        <item x="177"/>
        <item x="146"/>
        <item x="28"/>
        <item x="194"/>
        <item x="195"/>
        <item x="2"/>
        <item x="126"/>
        <item x="72"/>
        <item x="103"/>
        <item x="101"/>
        <item x="142"/>
        <item x="46"/>
        <item x="29"/>
        <item x="5"/>
        <item x="40"/>
        <item x="35"/>
        <item x="179"/>
        <item x="4"/>
        <item x="12"/>
        <item x="124"/>
        <item x="199"/>
        <item x="138"/>
        <item x="60"/>
        <item x="45"/>
        <item x="33"/>
        <item x="18"/>
        <item x="73"/>
        <item x="165"/>
        <item x="9"/>
        <item x="92"/>
        <item x="158"/>
        <item x="48"/>
        <item x="74"/>
        <item x="64"/>
        <item x="129"/>
        <item x="53"/>
        <item x="203"/>
        <item x="213"/>
        <item x="131"/>
        <item x="214"/>
        <item x="167"/>
        <item x="56"/>
        <item x="134"/>
        <item x="84"/>
        <item x="154"/>
        <item x="67"/>
        <item x="125"/>
        <item x="32"/>
        <item x="85"/>
        <item x="202"/>
        <item x="168"/>
        <item x="143"/>
        <item x="162"/>
        <item x="156"/>
        <item x="110"/>
        <item x="47"/>
        <item x="88"/>
        <item x="175"/>
        <item x="55"/>
        <item x="141"/>
        <item x="70"/>
        <item x="44"/>
        <item x="127"/>
        <item x="133"/>
        <item x="135"/>
        <item x="112"/>
        <item x="122"/>
        <item x="91"/>
        <item x="6"/>
        <item x="118"/>
        <item x="11"/>
        <item x="30"/>
        <item x="66"/>
        <item x="130"/>
        <item x="153"/>
        <item x="113"/>
        <item x="16"/>
        <item x="43"/>
        <item x="94"/>
        <item x="211"/>
        <item x="87"/>
        <item x="139"/>
        <item x="218"/>
        <item x="8"/>
        <item x="184"/>
        <item x="193"/>
        <item x="123"/>
        <item x="225"/>
        <item x="0"/>
        <item x="164"/>
        <item x="197"/>
        <item x="201"/>
        <item x="102"/>
        <item x="69"/>
        <item x="222"/>
        <item x="192"/>
        <item x="220"/>
        <item x="140"/>
        <item x="149"/>
        <item x="227"/>
        <item t="default"/>
      </items>
    </pivotField>
    <pivotField axis="axisRow" showAll="0">
      <items count="7">
        <item x="0"/>
        <item x="4"/>
        <item x="5"/>
        <item x="1"/>
        <item x="2"/>
        <item x="3"/>
        <item t="default"/>
      </items>
    </pivotField>
    <pivotField showAll="0"/>
    <pivotField showAll="0"/>
    <pivotField showAll="0"/>
    <pivotField showAll="0"/>
    <pivotField axis="axisCol" dataField="1" showAll="0">
      <items count="4">
        <item x="1"/>
        <item x="0"/>
        <item x="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Fields count="1">
    <field x="7"/>
  </colFields>
  <colItems count="4">
    <i>
      <x/>
    </i>
    <i>
      <x v="1"/>
    </i>
    <i>
      <x v="2"/>
    </i>
    <i t="grand">
      <x/>
    </i>
  </colItems>
  <dataFields count="1">
    <dataField name="Count of Crime_Yea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A55905-5593-43C7-903D-01837A8730A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0" firstHeaderRow="1" firstDataRow="1" firstDataCol="1"/>
  <pivotFields count="14">
    <pivotField dataField="1" showAll="0"/>
    <pivotField showAll="0"/>
    <pivotField axis="axisRow" showAll="0" sortType="ascending">
      <items count="7">
        <item x="0"/>
        <item x="4"/>
        <item x="5"/>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Count of Crime_ID" fld="0" subtotal="count" baseField="0" baseItem="0"/>
  </dataFields>
  <formats count="14">
    <format dxfId="100">
      <pivotArea type="all" dataOnly="0" outline="0" fieldPosition="0"/>
    </format>
    <format dxfId="99">
      <pivotArea outline="0" collapsedLevelsAreSubtotals="1" fieldPosition="0"/>
    </format>
    <format dxfId="98">
      <pivotArea field="2" type="button" dataOnly="0" labelOnly="1" outline="0" axis="axisRow" fieldPosition="0"/>
    </format>
    <format dxfId="97">
      <pivotArea dataOnly="0" labelOnly="1" fieldPosition="0">
        <references count="1">
          <reference field="2" count="0"/>
        </references>
      </pivotArea>
    </format>
    <format dxfId="96">
      <pivotArea dataOnly="0" labelOnly="1" grandRow="1" outline="0" fieldPosition="0"/>
    </format>
    <format dxfId="95">
      <pivotArea dataOnly="0" labelOnly="1" outline="0" axis="axisValues" fieldPosition="0"/>
    </format>
    <format dxfId="94">
      <pivotArea type="all" dataOnly="0" outline="0" fieldPosition="0"/>
    </format>
    <format dxfId="93">
      <pivotArea outline="0" collapsedLevelsAreSubtotals="1" fieldPosition="0"/>
    </format>
    <format dxfId="92">
      <pivotArea dataOnly="0" labelOnly="1" fieldPosition="0">
        <references count="1">
          <reference field="2" count="0"/>
        </references>
      </pivotArea>
    </format>
    <format dxfId="91">
      <pivotArea grandRow="1" outline="0" collapsedLevelsAreSubtotals="1" fieldPosition="0"/>
    </format>
    <format dxfId="90">
      <pivotArea dataOnly="0" labelOnly="1" grandRow="1" outline="0" fieldPosition="0"/>
    </format>
    <format dxfId="89">
      <pivotArea field="2" type="button" dataOnly="0" labelOnly="1" outline="0" axis="axisRow" fieldPosition="0"/>
    </format>
    <format dxfId="88">
      <pivotArea dataOnly="0" labelOnly="1" outline="0" axis="axisValues" fieldPosition="0"/>
    </format>
    <format dxfId="87">
      <pivotArea dataOnly="0" grandRow="1" axis="axisRow" fieldPosition="0"/>
    </format>
  </format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0D648E-3BF8-4C93-ACEC-1F3F180B8D86}" name="PivotTable1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9:H43" firstHeaderRow="1" firstDataRow="1" firstDataCol="1"/>
  <pivotFields count="17">
    <pivotField showAll="0"/>
    <pivotField showAll="0">
      <items count="229">
        <item x="39"/>
        <item x="71"/>
        <item x="115"/>
        <item x="99"/>
        <item x="132"/>
        <item x="145"/>
        <item x="49"/>
        <item x="21"/>
        <item x="187"/>
        <item x="173"/>
        <item x="111"/>
        <item x="190"/>
        <item x="178"/>
        <item x="76"/>
        <item x="89"/>
        <item x="206"/>
        <item x="37"/>
        <item x="185"/>
        <item x="210"/>
        <item x="62"/>
        <item x="120"/>
        <item x="17"/>
        <item x="41"/>
        <item x="54"/>
        <item x="136"/>
        <item x="93"/>
        <item x="160"/>
        <item x="61"/>
        <item x="207"/>
        <item x="20"/>
        <item x="59"/>
        <item x="186"/>
        <item x="10"/>
        <item x="150"/>
        <item x="81"/>
        <item x="57"/>
        <item x="51"/>
        <item x="95"/>
        <item x="108"/>
        <item x="107"/>
        <item x="52"/>
        <item x="209"/>
        <item x="38"/>
        <item x="36"/>
        <item x="208"/>
        <item x="163"/>
        <item x="157"/>
        <item x="226"/>
        <item x="144"/>
        <item x="96"/>
        <item x="114"/>
        <item x="166"/>
        <item x="215"/>
        <item x="200"/>
        <item x="1"/>
        <item x="97"/>
        <item x="25"/>
        <item x="109"/>
        <item x="174"/>
        <item x="90"/>
        <item x="3"/>
        <item x="82"/>
        <item x="65"/>
        <item x="27"/>
        <item x="105"/>
        <item x="198"/>
        <item x="189"/>
        <item x="7"/>
        <item x="77"/>
        <item x="223"/>
        <item x="104"/>
        <item x="217"/>
        <item x="50"/>
        <item x="147"/>
        <item x="137"/>
        <item x="183"/>
        <item x="78"/>
        <item x="152"/>
        <item x="42"/>
        <item x="219"/>
        <item x="128"/>
        <item x="31"/>
        <item x="205"/>
        <item x="86"/>
        <item x="22"/>
        <item x="161"/>
        <item x="182"/>
        <item x="180"/>
        <item x="155"/>
        <item x="204"/>
        <item x="63"/>
        <item x="98"/>
        <item x="75"/>
        <item x="188"/>
        <item x="171"/>
        <item x="15"/>
        <item x="26"/>
        <item x="121"/>
        <item x="191"/>
        <item x="196"/>
        <item x="79"/>
        <item x="83"/>
        <item x="224"/>
        <item x="170"/>
        <item x="216"/>
        <item x="23"/>
        <item x="117"/>
        <item x="58"/>
        <item x="24"/>
        <item x="34"/>
        <item x="13"/>
        <item x="119"/>
        <item x="159"/>
        <item x="68"/>
        <item x="221"/>
        <item x="100"/>
        <item x="212"/>
        <item x="148"/>
        <item x="80"/>
        <item x="116"/>
        <item x="19"/>
        <item x="151"/>
        <item x="181"/>
        <item x="176"/>
        <item x="14"/>
        <item x="169"/>
        <item x="106"/>
        <item x="172"/>
        <item x="177"/>
        <item x="146"/>
        <item x="28"/>
        <item x="194"/>
        <item x="195"/>
        <item x="2"/>
        <item x="126"/>
        <item x="72"/>
        <item x="103"/>
        <item x="101"/>
        <item x="142"/>
        <item x="46"/>
        <item x="29"/>
        <item x="5"/>
        <item x="40"/>
        <item x="35"/>
        <item x="179"/>
        <item x="4"/>
        <item x="12"/>
        <item x="124"/>
        <item x="199"/>
        <item x="138"/>
        <item x="60"/>
        <item x="45"/>
        <item x="33"/>
        <item x="18"/>
        <item x="73"/>
        <item x="165"/>
        <item x="9"/>
        <item x="92"/>
        <item x="158"/>
        <item x="48"/>
        <item x="74"/>
        <item x="64"/>
        <item x="129"/>
        <item x="53"/>
        <item x="203"/>
        <item x="213"/>
        <item x="131"/>
        <item x="214"/>
        <item x="167"/>
        <item x="56"/>
        <item x="134"/>
        <item x="84"/>
        <item x="154"/>
        <item x="67"/>
        <item x="125"/>
        <item x="32"/>
        <item x="85"/>
        <item x="202"/>
        <item x="168"/>
        <item x="143"/>
        <item x="162"/>
        <item x="156"/>
        <item x="110"/>
        <item x="47"/>
        <item x="88"/>
        <item x="175"/>
        <item x="55"/>
        <item x="141"/>
        <item x="70"/>
        <item x="44"/>
        <item x="127"/>
        <item x="133"/>
        <item x="135"/>
        <item x="112"/>
        <item x="122"/>
        <item x="91"/>
        <item x="6"/>
        <item x="118"/>
        <item x="11"/>
        <item x="30"/>
        <item x="66"/>
        <item x="130"/>
        <item x="153"/>
        <item x="113"/>
        <item x="16"/>
        <item x="43"/>
        <item x="94"/>
        <item x="211"/>
        <item x="87"/>
        <item x="139"/>
        <item x="218"/>
        <item x="8"/>
        <item x="184"/>
        <item x="193"/>
        <item x="123"/>
        <item x="225"/>
        <item x="0"/>
        <item x="164"/>
        <item x="197"/>
        <item x="201"/>
        <item x="102"/>
        <item x="69"/>
        <item x="222"/>
        <item x="192"/>
        <item x="220"/>
        <item x="140"/>
        <item x="149"/>
        <item x="227"/>
        <item t="default"/>
      </items>
    </pivotField>
    <pivotField showAll="0"/>
    <pivotField showAll="0"/>
    <pivotField showAll="0"/>
    <pivotField showAll="0"/>
    <pivotField showAll="0"/>
    <pivotField showAll="0">
      <items count="4">
        <item x="1"/>
        <item x="0"/>
        <item x="2"/>
        <item t="default"/>
      </items>
    </pivotField>
    <pivotField showAll="0">
      <items count="14">
        <item sd="0" x="3"/>
        <item sd="0" x="5"/>
        <item sd="0" x="10"/>
        <item sd="0" x="6"/>
        <item sd="0" x="4"/>
        <item sd="0" x="1"/>
        <item sd="0" x="0"/>
        <item sd="0" x="11"/>
        <item sd="0" x="8"/>
        <item sd="0" x="7"/>
        <item sd="0" x="9"/>
        <item sd="0" x="2"/>
        <item sd="0" x="12"/>
        <item t="default" sd="0"/>
      </items>
    </pivotField>
    <pivotField axis="axisRow" dataField="1" showAll="0">
      <items count="14">
        <item x="3"/>
        <item x="5"/>
        <item x="10"/>
        <item x="6"/>
        <item x="4"/>
        <item x="1"/>
        <item x="0"/>
        <item x="11"/>
        <item x="8"/>
        <item x="7"/>
        <item x="9"/>
        <item x="2"/>
        <item x="1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14">
    <i>
      <x/>
    </i>
    <i>
      <x v="1"/>
    </i>
    <i>
      <x v="2"/>
    </i>
    <i>
      <x v="3"/>
    </i>
    <i>
      <x v="4"/>
    </i>
    <i>
      <x v="5"/>
    </i>
    <i>
      <x v="6"/>
    </i>
    <i>
      <x v="7"/>
    </i>
    <i>
      <x v="8"/>
    </i>
    <i>
      <x v="9"/>
    </i>
    <i>
      <x v="10"/>
    </i>
    <i>
      <x v="11"/>
    </i>
    <i>
      <x v="12"/>
    </i>
    <i t="grand">
      <x/>
    </i>
  </rowItems>
  <colItems count="1">
    <i/>
  </colItems>
  <dataFields count="1">
    <dataField name="Count of Crime_month name" fld="9" subtotal="count" baseField="0" baseItem="0"/>
  </dataFields>
  <formats count="14">
    <format dxfId="114">
      <pivotArea type="all" dataOnly="0" outline="0" fieldPosition="0"/>
    </format>
    <format dxfId="113">
      <pivotArea outline="0" collapsedLevelsAreSubtotals="1" fieldPosition="0"/>
    </format>
    <format dxfId="112">
      <pivotArea field="9" type="button" dataOnly="0" labelOnly="1" outline="0" axis="axisRow" fieldPosition="0"/>
    </format>
    <format dxfId="111">
      <pivotArea dataOnly="0" labelOnly="1" fieldPosition="0">
        <references count="1">
          <reference field="9" count="0"/>
        </references>
      </pivotArea>
    </format>
    <format dxfId="110">
      <pivotArea dataOnly="0" labelOnly="1" grandRow="1" outline="0" fieldPosition="0"/>
    </format>
    <format dxfId="109">
      <pivotArea dataOnly="0" labelOnly="1" outline="0" axis="axisValues" fieldPosition="0"/>
    </format>
    <format dxfId="108">
      <pivotArea type="all" dataOnly="0" outline="0" fieldPosition="0"/>
    </format>
    <format dxfId="107">
      <pivotArea outline="0" collapsedLevelsAreSubtotals="1" fieldPosition="0"/>
    </format>
    <format dxfId="106">
      <pivotArea dataOnly="0" labelOnly="1" fieldPosition="0">
        <references count="1">
          <reference field="9" count="0"/>
        </references>
      </pivotArea>
    </format>
    <format dxfId="105">
      <pivotArea dataOnly="0" labelOnly="1" grandRow="1" outline="0" fieldPosition="0"/>
    </format>
    <format dxfId="104">
      <pivotArea grandRow="1" outline="0" collapsedLevelsAreSubtotals="1" fieldPosition="0"/>
    </format>
    <format dxfId="103">
      <pivotArea field="9" dataOnly="0" grandRow="1" axis="axisRow" fieldPosition="0">
        <references count="1">
          <reference field="9" count="1">
            <x v="12"/>
          </reference>
        </references>
      </pivotArea>
    </format>
    <format dxfId="102">
      <pivotArea field="9" type="button" dataOnly="0" labelOnly="1" outline="0" axis="axisRow" fieldPosition="0"/>
    </format>
    <format dxfId="10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8BAE05-E038-4056-B29E-2A778456FAA8}" name="PivotTable3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N43:O50" firstHeaderRow="1" firstDataRow="1" firstDataCol="1"/>
  <pivotFields count="17">
    <pivotField showAll="0"/>
    <pivotField showAll="0">
      <items count="229">
        <item x="39"/>
        <item x="71"/>
        <item x="115"/>
        <item x="99"/>
        <item x="132"/>
        <item x="145"/>
        <item x="49"/>
        <item x="21"/>
        <item x="187"/>
        <item x="173"/>
        <item x="111"/>
        <item x="190"/>
        <item x="178"/>
        <item x="76"/>
        <item x="89"/>
        <item x="206"/>
        <item x="37"/>
        <item x="185"/>
        <item x="210"/>
        <item x="62"/>
        <item x="120"/>
        <item x="17"/>
        <item x="41"/>
        <item x="54"/>
        <item x="136"/>
        <item x="93"/>
        <item x="160"/>
        <item x="61"/>
        <item x="207"/>
        <item x="20"/>
        <item x="59"/>
        <item x="186"/>
        <item x="10"/>
        <item x="150"/>
        <item x="81"/>
        <item x="57"/>
        <item x="51"/>
        <item x="95"/>
        <item x="108"/>
        <item x="107"/>
        <item x="52"/>
        <item x="209"/>
        <item x="38"/>
        <item x="36"/>
        <item x="208"/>
        <item x="163"/>
        <item x="157"/>
        <item x="226"/>
        <item x="144"/>
        <item x="96"/>
        <item x="114"/>
        <item x="166"/>
        <item x="215"/>
        <item x="200"/>
        <item x="1"/>
        <item x="97"/>
        <item x="25"/>
        <item x="109"/>
        <item x="174"/>
        <item x="90"/>
        <item x="3"/>
        <item x="82"/>
        <item x="65"/>
        <item x="27"/>
        <item x="105"/>
        <item x="198"/>
        <item x="189"/>
        <item x="7"/>
        <item x="77"/>
        <item x="223"/>
        <item x="104"/>
        <item x="217"/>
        <item x="50"/>
        <item x="147"/>
        <item x="137"/>
        <item x="183"/>
        <item x="78"/>
        <item x="152"/>
        <item x="42"/>
        <item x="219"/>
        <item x="128"/>
        <item x="31"/>
        <item x="205"/>
        <item x="86"/>
        <item x="22"/>
        <item x="161"/>
        <item x="182"/>
        <item x="180"/>
        <item x="155"/>
        <item x="204"/>
        <item x="63"/>
        <item x="98"/>
        <item x="75"/>
        <item x="188"/>
        <item x="171"/>
        <item x="15"/>
        <item x="26"/>
        <item x="121"/>
        <item x="191"/>
        <item x="196"/>
        <item x="79"/>
        <item x="83"/>
        <item x="224"/>
        <item x="170"/>
        <item x="216"/>
        <item x="23"/>
        <item x="117"/>
        <item x="58"/>
        <item x="24"/>
        <item x="34"/>
        <item x="13"/>
        <item x="119"/>
        <item x="159"/>
        <item x="68"/>
        <item x="221"/>
        <item x="100"/>
        <item x="212"/>
        <item x="148"/>
        <item x="80"/>
        <item x="116"/>
        <item x="19"/>
        <item x="151"/>
        <item x="181"/>
        <item x="176"/>
        <item x="14"/>
        <item x="169"/>
        <item x="106"/>
        <item x="172"/>
        <item x="177"/>
        <item x="146"/>
        <item x="28"/>
        <item x="194"/>
        <item x="195"/>
        <item x="2"/>
        <item x="126"/>
        <item x="72"/>
        <item x="103"/>
        <item x="101"/>
        <item x="142"/>
        <item x="46"/>
        <item x="29"/>
        <item x="5"/>
        <item x="40"/>
        <item x="35"/>
        <item x="179"/>
        <item x="4"/>
        <item x="12"/>
        <item x="124"/>
        <item x="199"/>
        <item x="138"/>
        <item x="60"/>
        <item x="45"/>
        <item x="33"/>
        <item x="18"/>
        <item x="73"/>
        <item x="165"/>
        <item x="9"/>
        <item x="92"/>
        <item x="158"/>
        <item x="48"/>
        <item x="74"/>
        <item x="64"/>
        <item x="129"/>
        <item x="53"/>
        <item x="203"/>
        <item x="213"/>
        <item x="131"/>
        <item x="214"/>
        <item x="167"/>
        <item x="56"/>
        <item x="134"/>
        <item x="84"/>
        <item x="154"/>
        <item x="67"/>
        <item x="125"/>
        <item x="32"/>
        <item x="85"/>
        <item x="202"/>
        <item x="168"/>
        <item x="143"/>
        <item x="162"/>
        <item x="156"/>
        <item x="110"/>
        <item x="47"/>
        <item x="88"/>
        <item x="175"/>
        <item x="55"/>
        <item x="141"/>
        <item x="70"/>
        <item x="44"/>
        <item x="127"/>
        <item x="133"/>
        <item x="135"/>
        <item x="112"/>
        <item x="122"/>
        <item x="91"/>
        <item x="6"/>
        <item x="118"/>
        <item x="11"/>
        <item x="30"/>
        <item x="66"/>
        <item x="130"/>
        <item x="153"/>
        <item x="113"/>
        <item x="16"/>
        <item x="43"/>
        <item x="94"/>
        <item x="211"/>
        <item x="87"/>
        <item x="139"/>
        <item x="218"/>
        <item x="8"/>
        <item x="184"/>
        <item x="193"/>
        <item x="123"/>
        <item x="225"/>
        <item x="0"/>
        <item x="164"/>
        <item x="197"/>
        <item x="201"/>
        <item x="102"/>
        <item x="69"/>
        <item x="222"/>
        <item x="192"/>
        <item x="220"/>
        <item x="140"/>
        <item x="149"/>
        <item x="227"/>
        <item t="default"/>
      </items>
    </pivotField>
    <pivotField axis="axisRow" dataField="1" showAll="0">
      <items count="7">
        <item x="0"/>
        <item x="4"/>
        <item x="5"/>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2"/>
  </rowFields>
  <rowItems count="7">
    <i>
      <x/>
    </i>
    <i>
      <x v="1"/>
    </i>
    <i>
      <x v="2"/>
    </i>
    <i>
      <x v="3"/>
    </i>
    <i>
      <x v="4"/>
    </i>
    <i>
      <x v="5"/>
    </i>
    <i t="grand">
      <x/>
    </i>
  </rowItems>
  <colItems count="1">
    <i/>
  </colItems>
  <dataFields count="1">
    <dataField name="Count of Crime_Type" fld="2"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051CAC-495A-4960-9FCC-3D623C818357}" name="PivotTable3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3:B47" firstHeaderRow="1" firstDataRow="1" firstDataCol="1"/>
  <pivotFields count="17">
    <pivotField showAll="0"/>
    <pivotField showAll="0">
      <items count="229">
        <item x="39"/>
        <item x="71"/>
        <item x="115"/>
        <item x="99"/>
        <item x="132"/>
        <item x="145"/>
        <item x="49"/>
        <item x="21"/>
        <item x="187"/>
        <item x="173"/>
        <item x="111"/>
        <item x="190"/>
        <item x="178"/>
        <item x="76"/>
        <item x="89"/>
        <item x="206"/>
        <item x="37"/>
        <item x="185"/>
        <item x="210"/>
        <item x="62"/>
        <item x="120"/>
        <item x="17"/>
        <item x="41"/>
        <item x="54"/>
        <item x="136"/>
        <item x="93"/>
        <item x="160"/>
        <item x="61"/>
        <item x="207"/>
        <item x="20"/>
        <item x="59"/>
        <item x="186"/>
        <item x="10"/>
        <item x="150"/>
        <item x="81"/>
        <item x="57"/>
        <item x="51"/>
        <item x="95"/>
        <item x="108"/>
        <item x="107"/>
        <item x="52"/>
        <item x="209"/>
        <item x="38"/>
        <item x="36"/>
        <item x="208"/>
        <item x="163"/>
        <item x="157"/>
        <item x="226"/>
        <item x="144"/>
        <item x="96"/>
        <item x="114"/>
        <item x="166"/>
        <item x="215"/>
        <item x="200"/>
        <item x="1"/>
        <item x="97"/>
        <item x="25"/>
        <item x="109"/>
        <item x="174"/>
        <item x="90"/>
        <item x="3"/>
        <item x="82"/>
        <item x="65"/>
        <item x="27"/>
        <item x="105"/>
        <item x="198"/>
        <item x="189"/>
        <item x="7"/>
        <item x="77"/>
        <item x="223"/>
        <item x="104"/>
        <item x="217"/>
        <item x="50"/>
        <item x="147"/>
        <item x="137"/>
        <item x="183"/>
        <item x="78"/>
        <item x="152"/>
        <item x="42"/>
        <item x="219"/>
        <item x="128"/>
        <item x="31"/>
        <item x="205"/>
        <item x="86"/>
        <item x="22"/>
        <item x="161"/>
        <item x="182"/>
        <item x="180"/>
        <item x="155"/>
        <item x="204"/>
        <item x="63"/>
        <item x="98"/>
        <item x="75"/>
        <item x="188"/>
        <item x="171"/>
        <item x="15"/>
        <item x="26"/>
        <item x="121"/>
        <item x="191"/>
        <item x="196"/>
        <item x="79"/>
        <item x="83"/>
        <item x="224"/>
        <item x="170"/>
        <item x="216"/>
        <item x="23"/>
        <item x="117"/>
        <item x="58"/>
        <item x="24"/>
        <item x="34"/>
        <item x="13"/>
        <item x="119"/>
        <item x="159"/>
        <item x="68"/>
        <item x="221"/>
        <item x="100"/>
        <item x="212"/>
        <item x="148"/>
        <item x="80"/>
        <item x="116"/>
        <item x="19"/>
        <item x="151"/>
        <item x="181"/>
        <item x="176"/>
        <item x="14"/>
        <item x="169"/>
        <item x="106"/>
        <item x="172"/>
        <item x="177"/>
        <item x="146"/>
        <item x="28"/>
        <item x="194"/>
        <item x="195"/>
        <item x="2"/>
        <item x="126"/>
        <item x="72"/>
        <item x="103"/>
        <item x="101"/>
        <item x="142"/>
        <item x="46"/>
        <item x="29"/>
        <item x="5"/>
        <item x="40"/>
        <item x="35"/>
        <item x="179"/>
        <item x="4"/>
        <item x="12"/>
        <item x="124"/>
        <item x="199"/>
        <item x="138"/>
        <item x="60"/>
        <item x="45"/>
        <item x="33"/>
        <item x="18"/>
        <item x="73"/>
        <item x="165"/>
        <item x="9"/>
        <item x="92"/>
        <item x="158"/>
        <item x="48"/>
        <item x="74"/>
        <item x="64"/>
        <item x="129"/>
        <item x="53"/>
        <item x="203"/>
        <item x="213"/>
        <item x="131"/>
        <item x="214"/>
        <item x="167"/>
        <item x="56"/>
        <item x="134"/>
        <item x="84"/>
        <item x="154"/>
        <item x="67"/>
        <item x="125"/>
        <item x="32"/>
        <item x="85"/>
        <item x="202"/>
        <item x="168"/>
        <item x="143"/>
        <item x="162"/>
        <item x="156"/>
        <item x="110"/>
        <item x="47"/>
        <item x="88"/>
        <item x="175"/>
        <item x="55"/>
        <item x="141"/>
        <item x="70"/>
        <item x="44"/>
        <item x="127"/>
        <item x="133"/>
        <item x="135"/>
        <item x="112"/>
        <item x="122"/>
        <item x="91"/>
        <item x="6"/>
        <item x="118"/>
        <item x="11"/>
        <item x="30"/>
        <item x="66"/>
        <item x="130"/>
        <item x="153"/>
        <item x="113"/>
        <item x="16"/>
        <item x="43"/>
        <item x="94"/>
        <item x="211"/>
        <item x="87"/>
        <item x="139"/>
        <item x="218"/>
        <item x="8"/>
        <item x="184"/>
        <item x="193"/>
        <item x="123"/>
        <item x="225"/>
        <item x="0"/>
        <item x="164"/>
        <item x="197"/>
        <item x="201"/>
        <item x="102"/>
        <item x="69"/>
        <item x="222"/>
        <item x="192"/>
        <item x="220"/>
        <item x="140"/>
        <item x="149"/>
        <item x="227"/>
        <item t="default"/>
      </items>
    </pivotField>
    <pivotField showAll="0"/>
    <pivotField showAll="0"/>
    <pivotField showAll="0"/>
    <pivotField showAll="0"/>
    <pivotField axis="axisRow" dataField="1" showAll="0">
      <items count="4">
        <item x="0"/>
        <item x="2"/>
        <item x="1"/>
        <item t="default"/>
      </items>
    </pivotField>
    <pivotField showAll="0">
      <items count="4">
        <item x="1"/>
        <item x="0"/>
        <item x="2"/>
        <item t="default"/>
      </items>
    </pivotField>
    <pivotField showAll="0">
      <items count="14">
        <item x="3"/>
        <item x="5"/>
        <item x="10"/>
        <item x="6"/>
        <item x="4"/>
        <item x="1"/>
        <item x="0"/>
        <item x="11"/>
        <item x="8"/>
        <item x="7"/>
        <item x="9"/>
        <item x="2"/>
        <item x="12"/>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4">
    <i>
      <x/>
    </i>
    <i>
      <x v="1"/>
    </i>
    <i>
      <x v="2"/>
    </i>
    <i t="grand">
      <x/>
    </i>
  </rowItems>
  <colItems count="1">
    <i/>
  </colItems>
  <dataFields count="1">
    <dataField name="Count of Severity_Level" fld="6"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E32E441-311F-47EB-9BEC-2BB07253094B}" name="PivotTable3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6:B79" firstHeaderRow="1" firstDataRow="1" firstDataCol="1"/>
  <pivotFields count="17">
    <pivotField showAll="0"/>
    <pivotField showAll="0">
      <items count="229">
        <item x="39"/>
        <item x="71"/>
        <item x="115"/>
        <item x="99"/>
        <item x="132"/>
        <item x="145"/>
        <item x="49"/>
        <item x="21"/>
        <item x="187"/>
        <item x="173"/>
        <item x="111"/>
        <item x="190"/>
        <item x="178"/>
        <item x="76"/>
        <item x="89"/>
        <item x="206"/>
        <item x="37"/>
        <item x="185"/>
        <item x="210"/>
        <item x="62"/>
        <item x="120"/>
        <item x="17"/>
        <item x="41"/>
        <item x="54"/>
        <item x="136"/>
        <item x="93"/>
        <item x="160"/>
        <item x="61"/>
        <item x="207"/>
        <item x="20"/>
        <item x="59"/>
        <item x="186"/>
        <item x="10"/>
        <item x="150"/>
        <item x="81"/>
        <item x="57"/>
        <item x="51"/>
        <item x="95"/>
        <item x="108"/>
        <item x="107"/>
        <item x="52"/>
        <item x="209"/>
        <item x="38"/>
        <item x="36"/>
        <item x="208"/>
        <item x="163"/>
        <item x="157"/>
        <item x="226"/>
        <item x="144"/>
        <item x="96"/>
        <item x="114"/>
        <item x="166"/>
        <item x="215"/>
        <item x="200"/>
        <item x="1"/>
        <item x="97"/>
        <item x="25"/>
        <item x="109"/>
        <item x="174"/>
        <item x="90"/>
        <item x="3"/>
        <item x="82"/>
        <item x="65"/>
        <item x="27"/>
        <item x="105"/>
        <item x="198"/>
        <item x="189"/>
        <item x="7"/>
        <item x="77"/>
        <item x="223"/>
        <item x="104"/>
        <item x="217"/>
        <item x="50"/>
        <item x="147"/>
        <item x="137"/>
        <item x="183"/>
        <item x="78"/>
        <item x="152"/>
        <item x="42"/>
        <item x="219"/>
        <item x="128"/>
        <item x="31"/>
        <item x="205"/>
        <item x="86"/>
        <item x="22"/>
        <item x="161"/>
        <item x="182"/>
        <item x="180"/>
        <item x="155"/>
        <item x="204"/>
        <item x="63"/>
        <item x="98"/>
        <item x="75"/>
        <item x="188"/>
        <item x="171"/>
        <item x="15"/>
        <item x="26"/>
        <item x="121"/>
        <item x="191"/>
        <item x="196"/>
        <item x="79"/>
        <item x="83"/>
        <item x="224"/>
        <item x="170"/>
        <item x="216"/>
        <item x="23"/>
        <item x="117"/>
        <item x="58"/>
        <item x="24"/>
        <item x="34"/>
        <item x="13"/>
        <item x="119"/>
        <item x="159"/>
        <item x="68"/>
        <item x="221"/>
        <item x="100"/>
        <item x="212"/>
        <item x="148"/>
        <item x="80"/>
        <item x="116"/>
        <item x="19"/>
        <item x="151"/>
        <item x="181"/>
        <item x="176"/>
        <item x="14"/>
        <item x="169"/>
        <item x="106"/>
        <item x="172"/>
        <item x="177"/>
        <item x="146"/>
        <item x="28"/>
        <item x="194"/>
        <item x="195"/>
        <item x="2"/>
        <item x="126"/>
        <item x="72"/>
        <item x="103"/>
        <item x="101"/>
        <item x="142"/>
        <item x="46"/>
        <item x="29"/>
        <item x="5"/>
        <item x="40"/>
        <item x="35"/>
        <item x="179"/>
        <item x="4"/>
        <item x="12"/>
        <item x="124"/>
        <item x="199"/>
        <item x="138"/>
        <item x="60"/>
        <item x="45"/>
        <item x="33"/>
        <item x="18"/>
        <item x="73"/>
        <item x="165"/>
        <item x="9"/>
        <item x="92"/>
        <item x="158"/>
        <item x="48"/>
        <item x="74"/>
        <item x="64"/>
        <item x="129"/>
        <item x="53"/>
        <item x="203"/>
        <item x="213"/>
        <item x="131"/>
        <item x="214"/>
        <item x="167"/>
        <item x="56"/>
        <item x="134"/>
        <item x="84"/>
        <item x="154"/>
        <item x="67"/>
        <item x="125"/>
        <item x="32"/>
        <item x="85"/>
        <item x="202"/>
        <item x="168"/>
        <item x="143"/>
        <item x="162"/>
        <item x="156"/>
        <item x="110"/>
        <item x="47"/>
        <item x="88"/>
        <item x="175"/>
        <item x="55"/>
        <item x="141"/>
        <item x="70"/>
        <item x="44"/>
        <item x="127"/>
        <item x="133"/>
        <item x="135"/>
        <item x="112"/>
        <item x="122"/>
        <item x="91"/>
        <item x="6"/>
        <item x="118"/>
        <item x="11"/>
        <item x="30"/>
        <item x="66"/>
        <item x="130"/>
        <item x="153"/>
        <item x="113"/>
        <item x="16"/>
        <item x="43"/>
        <item x="94"/>
        <item x="211"/>
        <item x="87"/>
        <item x="139"/>
        <item x="218"/>
        <item x="8"/>
        <item x="184"/>
        <item x="193"/>
        <item x="123"/>
        <item x="225"/>
        <item x="0"/>
        <item x="164"/>
        <item x="197"/>
        <item x="201"/>
        <item x="102"/>
        <item x="69"/>
        <item x="222"/>
        <item x="192"/>
        <item x="220"/>
        <item x="140"/>
        <item x="149"/>
        <item x="227"/>
        <item t="default"/>
      </items>
    </pivotField>
    <pivotField showAll="0"/>
    <pivotField showAll="0"/>
    <pivotField showAll="0"/>
    <pivotField showAll="0"/>
    <pivotField showAll="0">
      <items count="4">
        <item x="0"/>
        <item x="2"/>
        <item x="1"/>
        <item t="default"/>
      </items>
    </pivotField>
    <pivotField showAll="0">
      <items count="4">
        <item x="1"/>
        <item x="0"/>
        <item x="2"/>
        <item t="default"/>
      </items>
    </pivotField>
    <pivotField showAll="0">
      <items count="14">
        <item x="3"/>
        <item x="5"/>
        <item x="10"/>
        <item x="6"/>
        <item x="4"/>
        <item x="1"/>
        <item x="0"/>
        <item x="11"/>
        <item x="8"/>
        <item x="7"/>
        <item x="9"/>
        <item x="2"/>
        <item x="12"/>
        <item t="default"/>
      </items>
    </pivotField>
    <pivotField axis="axisRow" dataField="1" showAll="0">
      <items count="14">
        <item x="3"/>
        <item x="5"/>
        <item x="10"/>
        <item x="6"/>
        <item x="4"/>
        <item h="1" x="1"/>
        <item x="0"/>
        <item x="11"/>
        <item x="8"/>
        <item x="7"/>
        <item x="9"/>
        <item x="2"/>
        <item x="12"/>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9"/>
  </rowFields>
  <rowItems count="13">
    <i>
      <x/>
    </i>
    <i>
      <x v="1"/>
    </i>
    <i>
      <x v="2"/>
    </i>
    <i>
      <x v="3"/>
    </i>
    <i>
      <x v="4"/>
    </i>
    <i>
      <x v="6"/>
    </i>
    <i>
      <x v="7"/>
    </i>
    <i>
      <x v="8"/>
    </i>
    <i>
      <x v="9"/>
    </i>
    <i>
      <x v="10"/>
    </i>
    <i>
      <x v="11"/>
    </i>
    <i>
      <x v="12"/>
    </i>
    <i t="grand">
      <x/>
    </i>
  </rowItems>
  <colItems count="1">
    <i/>
  </colItems>
  <dataFields count="1">
    <dataField name="Count of Crime_month name" fld="9" subtotal="count"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5D07D70-5722-4872-BEB0-B4234E430FC7}" name="PivotTable2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N12:O17" firstHeaderRow="1" firstDataRow="1" firstDataCol="1"/>
  <pivotFields count="17">
    <pivotField showAll="0"/>
    <pivotField showAll="0">
      <items count="229">
        <item x="39"/>
        <item x="71"/>
        <item x="115"/>
        <item x="99"/>
        <item x="132"/>
        <item x="145"/>
        <item x="49"/>
        <item x="21"/>
        <item x="187"/>
        <item x="173"/>
        <item x="111"/>
        <item x="190"/>
        <item x="178"/>
        <item x="76"/>
        <item x="89"/>
        <item x="206"/>
        <item x="37"/>
        <item x="185"/>
        <item x="210"/>
        <item x="62"/>
        <item x="120"/>
        <item x="17"/>
        <item x="41"/>
        <item x="54"/>
        <item x="136"/>
        <item x="93"/>
        <item x="160"/>
        <item x="61"/>
        <item x="207"/>
        <item x="20"/>
        <item x="59"/>
        <item x="186"/>
        <item x="10"/>
        <item x="150"/>
        <item x="81"/>
        <item x="57"/>
        <item x="51"/>
        <item x="95"/>
        <item x="108"/>
        <item x="107"/>
        <item x="52"/>
        <item x="209"/>
        <item x="38"/>
        <item x="36"/>
        <item x="208"/>
        <item x="163"/>
        <item x="157"/>
        <item x="226"/>
        <item x="144"/>
        <item x="96"/>
        <item x="114"/>
        <item x="166"/>
        <item x="215"/>
        <item x="200"/>
        <item x="1"/>
        <item x="97"/>
        <item x="25"/>
        <item x="109"/>
        <item x="174"/>
        <item x="90"/>
        <item x="3"/>
        <item x="82"/>
        <item x="65"/>
        <item x="27"/>
        <item x="105"/>
        <item x="198"/>
        <item x="189"/>
        <item x="7"/>
        <item x="77"/>
        <item x="223"/>
        <item x="104"/>
        <item x="217"/>
        <item x="50"/>
        <item x="147"/>
        <item x="137"/>
        <item x="183"/>
        <item x="78"/>
        <item x="152"/>
        <item x="42"/>
        <item x="219"/>
        <item x="128"/>
        <item x="31"/>
        <item x="205"/>
        <item x="86"/>
        <item x="22"/>
        <item x="161"/>
        <item x="182"/>
        <item x="180"/>
        <item x="155"/>
        <item x="204"/>
        <item x="63"/>
        <item x="98"/>
        <item x="75"/>
        <item x="188"/>
        <item x="171"/>
        <item x="15"/>
        <item x="26"/>
        <item x="121"/>
        <item x="191"/>
        <item x="196"/>
        <item x="79"/>
        <item x="83"/>
        <item x="224"/>
        <item x="170"/>
        <item x="216"/>
        <item x="23"/>
        <item x="117"/>
        <item x="58"/>
        <item x="24"/>
        <item x="34"/>
        <item x="13"/>
        <item x="119"/>
        <item x="159"/>
        <item x="68"/>
        <item x="221"/>
        <item x="100"/>
        <item x="212"/>
        <item x="148"/>
        <item x="80"/>
        <item x="116"/>
        <item x="19"/>
        <item x="151"/>
        <item x="181"/>
        <item x="176"/>
        <item x="14"/>
        <item x="169"/>
        <item x="106"/>
        <item x="172"/>
        <item x="177"/>
        <item x="146"/>
        <item x="28"/>
        <item x="194"/>
        <item x="195"/>
        <item x="2"/>
        <item x="126"/>
        <item x="72"/>
        <item x="103"/>
        <item x="101"/>
        <item x="142"/>
        <item x="46"/>
        <item x="29"/>
        <item x="5"/>
        <item x="40"/>
        <item x="35"/>
        <item x="179"/>
        <item x="4"/>
        <item x="12"/>
        <item x="124"/>
        <item x="199"/>
        <item x="138"/>
        <item x="60"/>
        <item x="45"/>
        <item x="33"/>
        <item x="18"/>
        <item x="73"/>
        <item x="165"/>
        <item x="9"/>
        <item x="92"/>
        <item x="158"/>
        <item x="48"/>
        <item x="74"/>
        <item x="64"/>
        <item x="129"/>
        <item x="53"/>
        <item x="203"/>
        <item x="213"/>
        <item x="131"/>
        <item x="214"/>
        <item x="167"/>
        <item x="56"/>
        <item x="134"/>
        <item x="84"/>
        <item x="154"/>
        <item x="67"/>
        <item x="125"/>
        <item x="32"/>
        <item x="85"/>
        <item x="202"/>
        <item x="168"/>
        <item x="143"/>
        <item x="162"/>
        <item x="156"/>
        <item x="110"/>
        <item x="47"/>
        <item x="88"/>
        <item x="175"/>
        <item x="55"/>
        <item x="141"/>
        <item x="70"/>
        <item x="44"/>
        <item x="127"/>
        <item x="133"/>
        <item x="135"/>
        <item x="112"/>
        <item x="122"/>
        <item x="91"/>
        <item x="6"/>
        <item x="118"/>
        <item x="11"/>
        <item x="30"/>
        <item x="66"/>
        <item x="130"/>
        <item x="153"/>
        <item x="113"/>
        <item x="16"/>
        <item x="43"/>
        <item x="94"/>
        <item x="211"/>
        <item x="87"/>
        <item x="139"/>
        <item x="218"/>
        <item x="8"/>
        <item x="184"/>
        <item x="193"/>
        <item x="123"/>
        <item x="225"/>
        <item x="0"/>
        <item x="164"/>
        <item x="197"/>
        <item x="201"/>
        <item x="102"/>
        <item x="69"/>
        <item x="222"/>
        <item x="192"/>
        <item x="220"/>
        <item x="140"/>
        <item x="149"/>
        <item x="227"/>
        <item t="default"/>
      </items>
    </pivotField>
    <pivotField showAll="0">
      <items count="7">
        <item x="0"/>
        <item x="4"/>
        <item x="5"/>
        <item x="1"/>
        <item x="2"/>
        <item x="3"/>
        <item t="default"/>
      </items>
    </pivotField>
    <pivotField showAll="0">
      <items count="7">
        <item x="2"/>
        <item x="1"/>
        <item x="5"/>
        <item x="0"/>
        <item x="4"/>
        <item x="3"/>
        <item t="default"/>
      </items>
    </pivotField>
    <pivotField showAll="0"/>
    <pivotField axis="axisRow" dataField="1" showAll="0">
      <items count="5">
        <item x="1"/>
        <item x="0"/>
        <item x="2"/>
        <item x="3"/>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5">
    <i>
      <x/>
    </i>
    <i>
      <x v="1"/>
    </i>
    <i>
      <x v="2"/>
    </i>
    <i>
      <x v="3"/>
    </i>
    <i t="grand">
      <x/>
    </i>
  </rowItems>
  <colItems count="1">
    <i/>
  </colItems>
  <dataFields count="1">
    <dataField name="Count of Case_Status" fld="5" subtotal="count" baseField="0" baseItem="0"/>
  </dataFields>
  <formats count="2">
    <format dxfId="1">
      <pivotArea dataOnly="0" labelOnly="1" outline="0" axis="axisValues" fieldPosition="0"/>
    </format>
    <format dxfId="0">
      <pivotArea field="3" type="button" dataOnly="0" labelOnly="1" outline="0"/>
    </format>
  </format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00D6C98-7189-4E6D-B607-4E2DD6090680}" name="PivotTable2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2:B19" firstHeaderRow="1" firstDataRow="1" firstDataCol="1"/>
  <pivotFields count="17">
    <pivotField dataField="1" showAll="0"/>
    <pivotField showAll="0">
      <items count="229">
        <item x="39"/>
        <item x="71"/>
        <item x="115"/>
        <item x="99"/>
        <item x="132"/>
        <item x="145"/>
        <item x="49"/>
        <item x="21"/>
        <item x="187"/>
        <item x="173"/>
        <item x="111"/>
        <item x="190"/>
        <item x="178"/>
        <item x="76"/>
        <item x="89"/>
        <item x="206"/>
        <item x="37"/>
        <item x="185"/>
        <item x="210"/>
        <item x="62"/>
        <item x="120"/>
        <item x="17"/>
        <item x="41"/>
        <item x="54"/>
        <item x="136"/>
        <item x="93"/>
        <item x="160"/>
        <item x="61"/>
        <item x="207"/>
        <item x="20"/>
        <item x="59"/>
        <item x="186"/>
        <item x="10"/>
        <item x="150"/>
        <item x="81"/>
        <item x="57"/>
        <item x="51"/>
        <item x="95"/>
        <item x="108"/>
        <item x="107"/>
        <item x="52"/>
        <item x="209"/>
        <item x="38"/>
        <item x="36"/>
        <item x="208"/>
        <item x="163"/>
        <item x="157"/>
        <item x="226"/>
        <item x="144"/>
        <item x="96"/>
        <item x="114"/>
        <item x="166"/>
        <item x="215"/>
        <item x="200"/>
        <item x="1"/>
        <item x="97"/>
        <item x="25"/>
        <item x="109"/>
        <item x="174"/>
        <item x="90"/>
        <item x="3"/>
        <item x="82"/>
        <item x="65"/>
        <item x="27"/>
        <item x="105"/>
        <item x="198"/>
        <item x="189"/>
        <item x="7"/>
        <item x="77"/>
        <item x="223"/>
        <item x="104"/>
        <item x="217"/>
        <item x="50"/>
        <item x="147"/>
        <item x="137"/>
        <item x="183"/>
        <item x="78"/>
        <item x="152"/>
        <item x="42"/>
        <item x="219"/>
        <item x="128"/>
        <item x="31"/>
        <item x="205"/>
        <item x="86"/>
        <item x="22"/>
        <item x="161"/>
        <item x="182"/>
        <item x="180"/>
        <item x="155"/>
        <item x="204"/>
        <item x="63"/>
        <item x="98"/>
        <item x="75"/>
        <item x="188"/>
        <item x="171"/>
        <item x="15"/>
        <item x="26"/>
        <item x="121"/>
        <item x="191"/>
        <item x="196"/>
        <item x="79"/>
        <item x="83"/>
        <item x="224"/>
        <item x="170"/>
        <item x="216"/>
        <item x="23"/>
        <item x="117"/>
        <item x="58"/>
        <item x="24"/>
        <item x="34"/>
        <item x="13"/>
        <item x="119"/>
        <item x="159"/>
        <item x="68"/>
        <item x="221"/>
        <item x="100"/>
        <item x="212"/>
        <item x="148"/>
        <item x="80"/>
        <item x="116"/>
        <item x="19"/>
        <item x="151"/>
        <item x="181"/>
        <item x="176"/>
        <item x="14"/>
        <item x="169"/>
        <item x="106"/>
        <item x="172"/>
        <item x="177"/>
        <item x="146"/>
        <item x="28"/>
        <item x="194"/>
        <item x="195"/>
        <item x="2"/>
        <item x="126"/>
        <item x="72"/>
        <item x="103"/>
        <item x="101"/>
        <item x="142"/>
        <item x="46"/>
        <item x="29"/>
        <item x="5"/>
        <item x="40"/>
        <item x="35"/>
        <item x="179"/>
        <item x="4"/>
        <item x="12"/>
        <item x="124"/>
        <item x="199"/>
        <item x="138"/>
        <item x="60"/>
        <item x="45"/>
        <item x="33"/>
        <item x="18"/>
        <item x="73"/>
        <item x="165"/>
        <item x="9"/>
        <item x="92"/>
        <item x="158"/>
        <item x="48"/>
        <item x="74"/>
        <item x="64"/>
        <item x="129"/>
        <item x="53"/>
        <item x="203"/>
        <item x="213"/>
        <item x="131"/>
        <item x="214"/>
        <item x="167"/>
        <item x="56"/>
        <item x="134"/>
        <item x="84"/>
        <item x="154"/>
        <item x="67"/>
        <item x="125"/>
        <item x="32"/>
        <item x="85"/>
        <item x="202"/>
        <item x="168"/>
        <item x="143"/>
        <item x="162"/>
        <item x="156"/>
        <item x="110"/>
        <item x="47"/>
        <item x="88"/>
        <item x="175"/>
        <item x="55"/>
        <item x="141"/>
        <item x="70"/>
        <item x="44"/>
        <item x="127"/>
        <item x="133"/>
        <item x="135"/>
        <item x="112"/>
        <item x="122"/>
        <item x="91"/>
        <item x="6"/>
        <item x="118"/>
        <item x="11"/>
        <item x="30"/>
        <item x="66"/>
        <item x="130"/>
        <item x="153"/>
        <item x="113"/>
        <item x="16"/>
        <item x="43"/>
        <item x="94"/>
        <item x="211"/>
        <item x="87"/>
        <item x="139"/>
        <item x="218"/>
        <item x="8"/>
        <item x="184"/>
        <item x="193"/>
        <item x="123"/>
        <item x="225"/>
        <item x="0"/>
        <item x="164"/>
        <item x="197"/>
        <item x="201"/>
        <item x="102"/>
        <item x="69"/>
        <item x="222"/>
        <item x="192"/>
        <item x="220"/>
        <item x="140"/>
        <item x="149"/>
        <item x="227"/>
        <item t="default"/>
      </items>
    </pivotField>
    <pivotField showAll="0">
      <items count="7">
        <item x="0"/>
        <item h="1" x="4"/>
        <item h="1" x="5"/>
        <item h="1" x="1"/>
        <item h="1" x="2"/>
        <item h="1" x="3"/>
        <item t="default"/>
      </items>
    </pivotField>
    <pivotField axis="axisRow" showAll="0" sortType="descending">
      <items count="7">
        <item x="2"/>
        <item x="1"/>
        <item x="5"/>
        <item x="0"/>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7">
    <i>
      <x v="1"/>
    </i>
    <i>
      <x v="4"/>
    </i>
    <i>
      <x/>
    </i>
    <i>
      <x v="2"/>
    </i>
    <i>
      <x v="5"/>
    </i>
    <i>
      <x v="3"/>
    </i>
    <i t="grand">
      <x/>
    </i>
  </rowItems>
  <colItems count="1">
    <i/>
  </colItems>
  <dataFields count="1">
    <dataField name="Count of Crime_ID" fld="0" subtotal="count" baseField="0" baseItem="0"/>
  </dataFields>
  <formats count="2">
    <format dxfId="3">
      <pivotArea dataOnly="0" labelOnly="1" outline="0" axis="axisValues" fieldPosition="0"/>
    </format>
    <format dxfId="2">
      <pivotArea field="3" type="button" dataOnly="0" labelOnly="1" outline="0" axis="axisRow"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11BAC0E-7A9C-403F-9855-55A6FEFB11FC}"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R118:S122" firstHeaderRow="1" firstDataRow="1" firstDataCol="1"/>
  <pivotFields count="14">
    <pivotField dataField="1"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Crime_ID" fld="0" subtotal="count" baseField="0" baseItem="0"/>
  </dataFields>
  <formats count="13">
    <format dxfId="16">
      <pivotArea type="all" dataOnly="0" outline="0" fieldPosition="0"/>
    </format>
    <format dxfId="15">
      <pivotArea outline="0" collapsedLevelsAreSubtotals="1" fieldPosition="0"/>
    </format>
    <format dxfId="14">
      <pivotArea field="4" type="button" dataOnly="0" labelOnly="1" outline="0" axis="axisRow" fieldPosition="0"/>
    </format>
    <format dxfId="13">
      <pivotArea dataOnly="0" labelOnly="1" fieldPosition="0">
        <references count="1">
          <reference field="4" count="0"/>
        </references>
      </pivotArea>
    </format>
    <format dxfId="12">
      <pivotArea dataOnly="0" labelOnly="1" grandRow="1" outline="0" fieldPosition="0"/>
    </format>
    <format dxfId="11">
      <pivotArea dataOnly="0" labelOnly="1" outline="0" axis="axisValues" fieldPosition="0"/>
    </format>
    <format dxfId="10">
      <pivotArea dataOnly="0" labelOnly="1" fieldPosition="0">
        <references count="1">
          <reference field="4" count="0"/>
        </references>
      </pivotArea>
    </format>
    <format dxfId="9">
      <pivotArea dataOnly="0" outline="0" axis="axisValues" fieldPosition="0"/>
    </format>
    <format dxfId="8">
      <pivotArea dataOnly="0" labelOnly="1" grandRow="1" outline="0" fieldPosition="0"/>
    </format>
    <format dxfId="7">
      <pivotArea grandRow="1" outline="0" collapsedLevelsAreSubtotals="1" fieldPosition="0"/>
    </format>
    <format dxfId="6">
      <pivotArea field="4" type="button" dataOnly="0" labelOnly="1" outline="0" axis="axisRow" fieldPosition="0"/>
    </format>
    <format dxfId="5">
      <pivotArea dataOnly="0" labelOnly="1" outline="0" axis="axisValues" fieldPosition="0"/>
    </format>
    <format dxfId="4">
      <pivotArea field="4" dataOnly="0" grandRow="1" axis="axisRow" fieldPosition="0">
        <references count="1">
          <reference field="4" count="1">
            <x v="2"/>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49604F3-B78C-4458-879C-EB51FB997677}"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N65:U68" firstHeaderRow="1" firstDataRow="2" firstDataCol="1"/>
  <pivotFields count="17">
    <pivotField dataField="1" showAll="0"/>
    <pivotField showAll="0">
      <items count="229">
        <item x="39"/>
        <item x="71"/>
        <item x="115"/>
        <item x="99"/>
        <item x="132"/>
        <item x="145"/>
        <item x="49"/>
        <item x="21"/>
        <item x="187"/>
        <item x="173"/>
        <item x="111"/>
        <item x="190"/>
        <item x="178"/>
        <item x="76"/>
        <item x="89"/>
        <item x="206"/>
        <item x="37"/>
        <item x="185"/>
        <item x="210"/>
        <item x="62"/>
        <item x="120"/>
        <item x="17"/>
        <item x="41"/>
        <item x="54"/>
        <item x="136"/>
        <item x="93"/>
        <item x="160"/>
        <item x="61"/>
        <item x="207"/>
        <item x="20"/>
        <item x="59"/>
        <item x="186"/>
        <item x="10"/>
        <item x="150"/>
        <item x="81"/>
        <item x="57"/>
        <item x="51"/>
        <item x="95"/>
        <item x="108"/>
        <item x="107"/>
        <item x="52"/>
        <item x="209"/>
        <item x="38"/>
        <item x="36"/>
        <item x="208"/>
        <item x="163"/>
        <item x="157"/>
        <item x="226"/>
        <item x="144"/>
        <item x="96"/>
        <item x="114"/>
        <item x="166"/>
        <item x="215"/>
        <item x="200"/>
        <item x="1"/>
        <item x="97"/>
        <item x="25"/>
        <item x="109"/>
        <item x="174"/>
        <item x="90"/>
        <item x="3"/>
        <item x="82"/>
        <item x="65"/>
        <item x="27"/>
        <item x="105"/>
        <item x="198"/>
        <item x="189"/>
        <item x="7"/>
        <item x="77"/>
        <item x="223"/>
        <item x="104"/>
        <item x="217"/>
        <item x="50"/>
        <item x="147"/>
        <item x="137"/>
        <item x="183"/>
        <item x="78"/>
        <item x="152"/>
        <item x="42"/>
        <item x="219"/>
        <item x="128"/>
        <item x="31"/>
        <item x="205"/>
        <item x="86"/>
        <item x="22"/>
        <item x="161"/>
        <item x="182"/>
        <item x="180"/>
        <item x="155"/>
        <item x="204"/>
        <item x="63"/>
        <item x="98"/>
        <item x="75"/>
        <item x="188"/>
        <item x="171"/>
        <item x="15"/>
        <item x="26"/>
        <item x="121"/>
        <item x="191"/>
        <item x="196"/>
        <item x="79"/>
        <item x="83"/>
        <item x="224"/>
        <item x="170"/>
        <item x="216"/>
        <item x="23"/>
        <item x="117"/>
        <item x="58"/>
        <item x="24"/>
        <item x="34"/>
        <item x="13"/>
        <item x="119"/>
        <item x="159"/>
        <item x="68"/>
        <item x="221"/>
        <item x="100"/>
        <item x="212"/>
        <item x="148"/>
        <item x="80"/>
        <item x="116"/>
        <item x="19"/>
        <item x="151"/>
        <item x="181"/>
        <item x="176"/>
        <item x="14"/>
        <item x="169"/>
        <item x="106"/>
        <item x="172"/>
        <item x="177"/>
        <item x="146"/>
        <item x="28"/>
        <item x="194"/>
        <item x="195"/>
        <item x="2"/>
        <item x="126"/>
        <item x="72"/>
        <item x="103"/>
        <item x="101"/>
        <item x="142"/>
        <item x="46"/>
        <item x="29"/>
        <item x="5"/>
        <item x="40"/>
        <item x="35"/>
        <item x="179"/>
        <item x="4"/>
        <item x="12"/>
        <item x="124"/>
        <item x="199"/>
        <item x="138"/>
        <item x="60"/>
        <item x="45"/>
        <item x="33"/>
        <item x="18"/>
        <item x="73"/>
        <item x="165"/>
        <item x="9"/>
        <item x="92"/>
        <item x="158"/>
        <item x="48"/>
        <item x="74"/>
        <item x="64"/>
        <item x="129"/>
        <item x="53"/>
        <item x="203"/>
        <item x="213"/>
        <item x="131"/>
        <item x="214"/>
        <item x="167"/>
        <item x="56"/>
        <item x="134"/>
        <item x="84"/>
        <item x="154"/>
        <item x="67"/>
        <item x="125"/>
        <item x="32"/>
        <item x="85"/>
        <item x="202"/>
        <item x="168"/>
        <item x="143"/>
        <item x="162"/>
        <item x="156"/>
        <item x="110"/>
        <item x="47"/>
        <item x="88"/>
        <item x="175"/>
        <item x="55"/>
        <item x="141"/>
        <item x="70"/>
        <item x="44"/>
        <item x="127"/>
        <item x="133"/>
        <item x="135"/>
        <item x="112"/>
        <item x="122"/>
        <item x="91"/>
        <item x="6"/>
        <item x="118"/>
        <item x="11"/>
        <item x="30"/>
        <item x="66"/>
        <item x="130"/>
        <item x="153"/>
        <item x="113"/>
        <item x="16"/>
        <item x="43"/>
        <item x="94"/>
        <item x="211"/>
        <item x="87"/>
        <item x="139"/>
        <item x="218"/>
        <item x="8"/>
        <item x="184"/>
        <item x="193"/>
        <item x="123"/>
        <item x="225"/>
        <item x="0"/>
        <item x="164"/>
        <item x="197"/>
        <item x="201"/>
        <item x="102"/>
        <item x="69"/>
        <item x="222"/>
        <item x="192"/>
        <item x="220"/>
        <item x="140"/>
        <item x="149"/>
        <item x="227"/>
        <item t="default"/>
      </items>
    </pivotField>
    <pivotField axis="axisCol" showAll="0">
      <items count="7">
        <item x="0"/>
        <item x="4"/>
        <item x="5"/>
        <item x="1"/>
        <item x="2"/>
        <item x="3"/>
        <item t="default"/>
      </items>
    </pivotField>
    <pivotField showAll="0">
      <items count="7">
        <item x="2"/>
        <item x="1"/>
        <item x="5"/>
        <item x="0"/>
        <item x="4"/>
        <item x="3"/>
        <item t="default"/>
      </items>
    </pivotField>
    <pivotField showAll="0"/>
    <pivotField showAll="0"/>
    <pivotField showAll="0"/>
    <pivotField axis="axisRow" showAll="0">
      <items count="4">
        <item x="1"/>
        <item h="1" x="0"/>
        <item h="1" x="2"/>
        <item t="default"/>
      </items>
    </pivotField>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2">
    <i>
      <x/>
    </i>
    <i t="grand">
      <x/>
    </i>
  </rowItems>
  <colFields count="1">
    <field x="2"/>
  </colFields>
  <colItems count="7">
    <i>
      <x/>
    </i>
    <i>
      <x v="1"/>
    </i>
    <i>
      <x v="2"/>
    </i>
    <i>
      <x v="3"/>
    </i>
    <i>
      <x v="4"/>
    </i>
    <i>
      <x v="5"/>
    </i>
    <i t="grand">
      <x/>
    </i>
  </colItems>
  <dataFields count="1">
    <dataField name="Count of Crime_ID" fld="0" subtotal="count"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64661D2-D835-499F-91A5-CFAA95A15655}" name="PivotTable3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A89:H94" firstHeaderRow="1" firstDataRow="2" firstDataCol="1"/>
  <pivotFields count="17">
    <pivotField showAll="0"/>
    <pivotField showAll="0">
      <items count="229">
        <item x="39"/>
        <item x="71"/>
        <item x="115"/>
        <item x="99"/>
        <item x="132"/>
        <item x="145"/>
        <item x="49"/>
        <item x="21"/>
        <item x="187"/>
        <item x="173"/>
        <item x="111"/>
        <item x="190"/>
        <item x="178"/>
        <item x="76"/>
        <item x="89"/>
        <item x="206"/>
        <item x="37"/>
        <item x="185"/>
        <item x="210"/>
        <item x="62"/>
        <item x="120"/>
        <item x="17"/>
        <item x="41"/>
        <item x="54"/>
        <item x="136"/>
        <item x="93"/>
        <item x="160"/>
        <item x="61"/>
        <item x="207"/>
        <item x="20"/>
        <item x="59"/>
        <item x="186"/>
        <item x="10"/>
        <item x="150"/>
        <item x="81"/>
        <item x="57"/>
        <item x="51"/>
        <item x="95"/>
        <item x="108"/>
        <item x="107"/>
        <item x="52"/>
        <item x="209"/>
        <item x="38"/>
        <item x="36"/>
        <item x="208"/>
        <item x="163"/>
        <item x="157"/>
        <item x="226"/>
        <item x="144"/>
        <item x="96"/>
        <item x="114"/>
        <item x="166"/>
        <item x="215"/>
        <item x="200"/>
        <item x="1"/>
        <item x="97"/>
        <item x="25"/>
        <item x="109"/>
        <item x="174"/>
        <item x="90"/>
        <item x="3"/>
        <item x="82"/>
        <item x="65"/>
        <item x="27"/>
        <item x="105"/>
        <item x="198"/>
        <item x="189"/>
        <item x="7"/>
        <item x="77"/>
        <item x="223"/>
        <item x="104"/>
        <item x="217"/>
        <item x="50"/>
        <item x="147"/>
        <item x="137"/>
        <item x="183"/>
        <item x="78"/>
        <item x="152"/>
        <item x="42"/>
        <item x="219"/>
        <item x="128"/>
        <item x="31"/>
        <item x="205"/>
        <item x="86"/>
        <item x="22"/>
        <item x="161"/>
        <item x="182"/>
        <item x="180"/>
        <item x="155"/>
        <item x="204"/>
        <item x="63"/>
        <item x="98"/>
        <item x="75"/>
        <item x="188"/>
        <item x="171"/>
        <item x="15"/>
        <item x="26"/>
        <item x="121"/>
        <item x="191"/>
        <item x="196"/>
        <item x="79"/>
        <item x="83"/>
        <item x="224"/>
        <item x="170"/>
        <item x="216"/>
        <item x="23"/>
        <item x="117"/>
        <item x="58"/>
        <item x="24"/>
        <item x="34"/>
        <item x="13"/>
        <item x="119"/>
        <item x="159"/>
        <item x="68"/>
        <item x="221"/>
        <item x="100"/>
        <item x="212"/>
        <item x="148"/>
        <item x="80"/>
        <item x="116"/>
        <item x="19"/>
        <item x="151"/>
        <item x="181"/>
        <item x="176"/>
        <item x="14"/>
        <item x="169"/>
        <item x="106"/>
        <item x="172"/>
        <item x="177"/>
        <item x="146"/>
        <item x="28"/>
        <item x="194"/>
        <item x="195"/>
        <item x="2"/>
        <item x="126"/>
        <item x="72"/>
        <item x="103"/>
        <item x="101"/>
        <item x="142"/>
        <item x="46"/>
        <item x="29"/>
        <item x="5"/>
        <item x="40"/>
        <item x="35"/>
        <item x="179"/>
        <item x="4"/>
        <item x="12"/>
        <item x="124"/>
        <item x="199"/>
        <item x="138"/>
        <item x="60"/>
        <item x="45"/>
        <item x="33"/>
        <item x="18"/>
        <item x="73"/>
        <item x="165"/>
        <item x="9"/>
        <item x="92"/>
        <item x="158"/>
        <item x="48"/>
        <item x="74"/>
        <item x="64"/>
        <item x="129"/>
        <item x="53"/>
        <item x="203"/>
        <item x="213"/>
        <item x="131"/>
        <item x="214"/>
        <item x="167"/>
        <item x="56"/>
        <item x="134"/>
        <item x="84"/>
        <item x="154"/>
        <item x="67"/>
        <item x="125"/>
        <item x="32"/>
        <item x="85"/>
        <item x="202"/>
        <item x="168"/>
        <item x="143"/>
        <item x="162"/>
        <item x="156"/>
        <item x="110"/>
        <item x="47"/>
        <item x="88"/>
        <item x="175"/>
        <item x="55"/>
        <item x="141"/>
        <item x="70"/>
        <item x="44"/>
        <item x="127"/>
        <item x="133"/>
        <item x="135"/>
        <item x="112"/>
        <item x="122"/>
        <item x="91"/>
        <item x="6"/>
        <item x="118"/>
        <item x="11"/>
        <item x="30"/>
        <item x="66"/>
        <item x="130"/>
        <item x="153"/>
        <item x="113"/>
        <item x="16"/>
        <item x="43"/>
        <item x="94"/>
        <item x="211"/>
        <item x="87"/>
        <item x="139"/>
        <item x="218"/>
        <item x="8"/>
        <item x="184"/>
        <item x="193"/>
        <item x="123"/>
        <item x="225"/>
        <item x="0"/>
        <item x="164"/>
        <item x="197"/>
        <item x="201"/>
        <item x="102"/>
        <item x="69"/>
        <item x="222"/>
        <item x="192"/>
        <item x="220"/>
        <item x="140"/>
        <item x="149"/>
        <item x="227"/>
        <item t="default"/>
      </items>
    </pivotField>
    <pivotField axis="axisCol" showAll="0">
      <items count="7">
        <item x="0"/>
        <item x="4"/>
        <item x="5"/>
        <item x="1"/>
        <item x="2"/>
        <item x="3"/>
        <item t="default"/>
      </items>
    </pivotField>
    <pivotField showAll="0">
      <items count="7">
        <item x="2"/>
        <item x="1"/>
        <item x="5"/>
        <item x="0"/>
        <item x="4"/>
        <item x="3"/>
        <item t="default"/>
      </items>
    </pivotField>
    <pivotField axis="axisRow" dataField="1" showAll="0">
      <items count="4">
        <item x="2"/>
        <item x="0"/>
        <item x="1"/>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4"/>
  </rowFields>
  <rowItems count="4">
    <i>
      <x/>
    </i>
    <i>
      <x v="1"/>
    </i>
    <i>
      <x v="2"/>
    </i>
    <i t="grand">
      <x/>
    </i>
  </rowItems>
  <colFields count="1">
    <field x="2"/>
  </colFields>
  <colItems count="7">
    <i>
      <x/>
    </i>
    <i>
      <x v="1"/>
    </i>
    <i>
      <x v="2"/>
    </i>
    <i>
      <x v="3"/>
    </i>
    <i>
      <x v="4"/>
    </i>
    <i>
      <x v="5"/>
    </i>
    <i t="grand">
      <x/>
    </i>
  </colItems>
  <dataFields count="1">
    <dataField name="Count of Victim_Gender"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27" series="1">
      <pivotArea type="data" outline="0" fieldPosition="0">
        <references count="2">
          <reference field="4294967294" count="1" selected="0">
            <x v="0"/>
          </reference>
          <reference field="2" count="1" selected="0">
            <x v="1"/>
          </reference>
        </references>
      </pivotArea>
    </chartFormat>
    <chartFormat chart="0" format="28" series="1">
      <pivotArea type="data" outline="0" fieldPosition="0">
        <references count="2">
          <reference field="4294967294" count="1" selected="0">
            <x v="0"/>
          </reference>
          <reference field="2" count="1" selected="0">
            <x v="2"/>
          </reference>
        </references>
      </pivotArea>
    </chartFormat>
    <chartFormat chart="0" format="29" series="1">
      <pivotArea type="data" outline="0" fieldPosition="0">
        <references count="2">
          <reference field="4294967294" count="1" selected="0">
            <x v="0"/>
          </reference>
          <reference field="2" count="1" selected="0">
            <x v="3"/>
          </reference>
        </references>
      </pivotArea>
    </chartFormat>
    <chartFormat chart="0" format="30" series="1">
      <pivotArea type="data" outline="0" fieldPosition="0">
        <references count="2">
          <reference field="4294967294" count="1" selected="0">
            <x v="0"/>
          </reference>
          <reference field="2" count="1" selected="0">
            <x v="4"/>
          </reference>
        </references>
      </pivotArea>
    </chartFormat>
    <chartFormat chart="0" format="31" series="1">
      <pivotArea type="data" outline="0" fieldPosition="0">
        <references count="2">
          <reference field="4294967294" count="1" selected="0">
            <x v="0"/>
          </reference>
          <reference field="2" count="1" selected="0">
            <x v="5"/>
          </reference>
        </references>
      </pivotArea>
    </chartFormat>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 chart="1" format="4" series="1">
      <pivotArea type="data" outline="0" fieldPosition="0">
        <references count="2">
          <reference field="4294967294" count="1" selected="0">
            <x v="0"/>
          </reference>
          <reference field="2" count="1" selected="0">
            <x v="4"/>
          </reference>
        </references>
      </pivotArea>
    </chartFormat>
    <chartFormat chart="1" format="5" series="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EC9E426-993D-4FB6-9610-2AC590D482D7}"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18:H126" firstHeaderRow="1" firstDataRow="2" firstDataCol="1"/>
  <pivotFields count="17">
    <pivotField dataField="1" showAll="0"/>
    <pivotField showAll="0">
      <items count="229">
        <item x="39"/>
        <item x="71"/>
        <item x="115"/>
        <item x="99"/>
        <item x="132"/>
        <item x="145"/>
        <item x="49"/>
        <item x="21"/>
        <item x="187"/>
        <item x="173"/>
        <item x="111"/>
        <item x="190"/>
        <item x="178"/>
        <item x="76"/>
        <item x="89"/>
        <item x="206"/>
        <item x="37"/>
        <item x="185"/>
        <item x="210"/>
        <item x="62"/>
        <item x="120"/>
        <item x="17"/>
        <item x="41"/>
        <item x="54"/>
        <item x="136"/>
        <item x="93"/>
        <item x="160"/>
        <item x="61"/>
        <item x="207"/>
        <item x="20"/>
        <item x="59"/>
        <item x="186"/>
        <item x="10"/>
        <item x="150"/>
        <item x="81"/>
        <item x="57"/>
        <item x="51"/>
        <item x="95"/>
        <item x="108"/>
        <item x="107"/>
        <item x="52"/>
        <item x="209"/>
        <item x="38"/>
        <item x="36"/>
        <item x="208"/>
        <item x="163"/>
        <item x="157"/>
        <item x="226"/>
        <item x="144"/>
        <item x="96"/>
        <item x="114"/>
        <item x="166"/>
        <item x="215"/>
        <item x="200"/>
        <item x="1"/>
        <item x="97"/>
        <item x="25"/>
        <item x="109"/>
        <item x="174"/>
        <item x="90"/>
        <item x="3"/>
        <item x="82"/>
        <item x="65"/>
        <item x="27"/>
        <item x="105"/>
        <item x="198"/>
        <item x="189"/>
        <item x="7"/>
        <item x="77"/>
        <item x="223"/>
        <item x="104"/>
        <item x="217"/>
        <item x="50"/>
        <item x="147"/>
        <item x="137"/>
        <item x="183"/>
        <item x="78"/>
        <item x="152"/>
        <item x="42"/>
        <item x="219"/>
        <item x="128"/>
        <item x="31"/>
        <item x="205"/>
        <item x="86"/>
        <item x="22"/>
        <item x="161"/>
        <item x="182"/>
        <item x="180"/>
        <item x="155"/>
        <item x="204"/>
        <item x="63"/>
        <item x="98"/>
        <item x="75"/>
        <item x="188"/>
        <item x="171"/>
        <item x="15"/>
        <item x="26"/>
        <item x="121"/>
        <item x="191"/>
        <item x="196"/>
        <item x="79"/>
        <item x="83"/>
        <item x="224"/>
        <item x="170"/>
        <item x="216"/>
        <item x="23"/>
        <item x="117"/>
        <item x="58"/>
        <item x="24"/>
        <item x="34"/>
        <item x="13"/>
        <item x="119"/>
        <item x="159"/>
        <item x="68"/>
        <item x="221"/>
        <item x="100"/>
        <item x="212"/>
        <item x="148"/>
        <item x="80"/>
        <item x="116"/>
        <item x="19"/>
        <item x="151"/>
        <item x="181"/>
        <item x="176"/>
        <item x="14"/>
        <item x="169"/>
        <item x="106"/>
        <item x="172"/>
        <item x="177"/>
        <item x="146"/>
        <item x="28"/>
        <item x="194"/>
        <item x="195"/>
        <item x="2"/>
        <item x="126"/>
        <item x="72"/>
        <item x="103"/>
        <item x="101"/>
        <item x="142"/>
        <item x="46"/>
        <item x="29"/>
        <item x="5"/>
        <item x="40"/>
        <item x="35"/>
        <item x="179"/>
        <item x="4"/>
        <item x="12"/>
        <item x="124"/>
        <item x="199"/>
        <item x="138"/>
        <item x="60"/>
        <item x="45"/>
        <item x="33"/>
        <item x="18"/>
        <item x="73"/>
        <item x="165"/>
        <item x="9"/>
        <item x="92"/>
        <item x="158"/>
        <item x="48"/>
        <item x="74"/>
        <item x="64"/>
        <item x="129"/>
        <item x="53"/>
        <item x="203"/>
        <item x="213"/>
        <item x="131"/>
        <item x="214"/>
        <item x="167"/>
        <item x="56"/>
        <item x="134"/>
        <item x="84"/>
        <item x="154"/>
        <item x="67"/>
        <item x="125"/>
        <item x="32"/>
        <item x="85"/>
        <item x="202"/>
        <item x="168"/>
        <item x="143"/>
        <item x="162"/>
        <item x="156"/>
        <item x="110"/>
        <item x="47"/>
        <item x="88"/>
        <item x="175"/>
        <item x="55"/>
        <item x="141"/>
        <item x="70"/>
        <item x="44"/>
        <item x="127"/>
        <item x="133"/>
        <item x="135"/>
        <item x="112"/>
        <item x="122"/>
        <item x="91"/>
        <item x="6"/>
        <item x="118"/>
        <item x="11"/>
        <item x="30"/>
        <item x="66"/>
        <item x="130"/>
        <item x="153"/>
        <item x="113"/>
        <item x="16"/>
        <item x="43"/>
        <item x="94"/>
        <item x="211"/>
        <item x="87"/>
        <item x="139"/>
        <item x="218"/>
        <item x="8"/>
        <item x="184"/>
        <item x="193"/>
        <item x="123"/>
        <item x="225"/>
        <item x="0"/>
        <item x="164"/>
        <item x="197"/>
        <item x="201"/>
        <item x="102"/>
        <item x="69"/>
        <item x="222"/>
        <item x="192"/>
        <item x="220"/>
        <item x="140"/>
        <item x="149"/>
        <item x="227"/>
        <item t="default"/>
      </items>
    </pivotField>
    <pivotField axis="axisCol" showAll="0">
      <items count="7">
        <item x="0"/>
        <item x="4"/>
        <item x="5"/>
        <item x="1"/>
        <item x="2"/>
        <item x="3"/>
        <item t="default"/>
      </items>
    </pivotField>
    <pivotField axis="axisRow" showAll="0">
      <items count="7">
        <item x="2"/>
        <item x="1"/>
        <item x="5"/>
        <item x="0"/>
        <item x="4"/>
        <item x="3"/>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7">
    <i>
      <x/>
    </i>
    <i>
      <x v="1"/>
    </i>
    <i>
      <x v="2"/>
    </i>
    <i>
      <x v="3"/>
    </i>
    <i>
      <x v="4"/>
    </i>
    <i>
      <x v="5"/>
    </i>
    <i t="grand">
      <x/>
    </i>
  </rowItems>
  <colFields count="1">
    <field x="2"/>
  </colFields>
  <colItems count="7">
    <i>
      <x/>
    </i>
    <i>
      <x v="1"/>
    </i>
    <i>
      <x v="2"/>
    </i>
    <i>
      <x v="3"/>
    </i>
    <i>
      <x v="4"/>
    </i>
    <i>
      <x v="5"/>
    </i>
    <i t="grand">
      <x/>
    </i>
  </colItems>
  <dataFields count="1">
    <dataField name="Count of Crime_ID" fld="0" subtotal="count"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4FDEF8A-C148-43C2-9B33-1E810AB9379A}"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V91:X96" firstHeaderRow="1" firstDataRow="2" firstDataCol="1" rowPageCount="1" colPageCount="1"/>
  <pivotFields count="17">
    <pivotField dataField="1" showAll="0">
      <items count="294">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0"/>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2"/>
        <item x="3"/>
        <item x="4"/>
        <item x="5"/>
        <item x="6"/>
        <item x="7"/>
        <item x="8"/>
        <item x="9"/>
        <item x="10"/>
        <item x="11"/>
        <item x="12"/>
        <item x="13"/>
        <item x="14"/>
        <item x="292"/>
        <item t="default"/>
      </items>
    </pivotField>
    <pivotField showAll="0">
      <items count="229">
        <item x="39"/>
        <item x="71"/>
        <item x="115"/>
        <item x="99"/>
        <item x="132"/>
        <item x="145"/>
        <item x="49"/>
        <item x="21"/>
        <item x="187"/>
        <item x="173"/>
        <item x="111"/>
        <item x="190"/>
        <item x="178"/>
        <item x="76"/>
        <item x="89"/>
        <item x="206"/>
        <item x="37"/>
        <item x="185"/>
        <item x="210"/>
        <item x="62"/>
        <item x="120"/>
        <item x="17"/>
        <item x="41"/>
        <item x="54"/>
        <item x="136"/>
        <item x="93"/>
        <item x="160"/>
        <item x="61"/>
        <item x="207"/>
        <item x="20"/>
        <item x="59"/>
        <item x="186"/>
        <item x="10"/>
        <item x="150"/>
        <item x="81"/>
        <item x="57"/>
        <item x="51"/>
        <item x="95"/>
        <item x="108"/>
        <item x="107"/>
        <item x="52"/>
        <item x="209"/>
        <item x="38"/>
        <item x="36"/>
        <item x="208"/>
        <item x="163"/>
        <item x="157"/>
        <item x="226"/>
        <item x="144"/>
        <item x="96"/>
        <item x="114"/>
        <item x="166"/>
        <item x="215"/>
        <item x="200"/>
        <item x="1"/>
        <item x="97"/>
        <item x="25"/>
        <item x="109"/>
        <item x="174"/>
        <item x="90"/>
        <item x="3"/>
        <item x="82"/>
        <item x="65"/>
        <item x="27"/>
        <item x="105"/>
        <item x="198"/>
        <item x="189"/>
        <item x="7"/>
        <item x="77"/>
        <item x="223"/>
        <item x="104"/>
        <item x="217"/>
        <item x="50"/>
        <item x="147"/>
        <item x="137"/>
        <item x="183"/>
        <item x="78"/>
        <item x="152"/>
        <item x="42"/>
        <item x="219"/>
        <item x="128"/>
        <item x="31"/>
        <item x="205"/>
        <item x="86"/>
        <item x="22"/>
        <item x="161"/>
        <item x="182"/>
        <item x="180"/>
        <item x="155"/>
        <item x="204"/>
        <item x="63"/>
        <item x="98"/>
        <item x="75"/>
        <item x="188"/>
        <item x="171"/>
        <item x="15"/>
        <item x="26"/>
        <item x="121"/>
        <item x="191"/>
        <item x="196"/>
        <item x="79"/>
        <item x="83"/>
        <item x="224"/>
        <item x="170"/>
        <item x="216"/>
        <item x="23"/>
        <item x="117"/>
        <item x="58"/>
        <item x="24"/>
        <item x="34"/>
        <item x="13"/>
        <item x="119"/>
        <item x="159"/>
        <item x="68"/>
        <item x="221"/>
        <item x="100"/>
        <item x="212"/>
        <item x="148"/>
        <item x="80"/>
        <item x="116"/>
        <item x="19"/>
        <item x="151"/>
        <item x="181"/>
        <item x="176"/>
        <item x="14"/>
        <item x="169"/>
        <item x="106"/>
        <item x="172"/>
        <item x="177"/>
        <item x="146"/>
        <item x="28"/>
        <item x="194"/>
        <item x="195"/>
        <item x="2"/>
        <item x="126"/>
        <item x="72"/>
        <item x="103"/>
        <item x="101"/>
        <item x="142"/>
        <item x="46"/>
        <item x="29"/>
        <item x="5"/>
        <item x="40"/>
        <item x="35"/>
        <item x="179"/>
        <item x="4"/>
        <item x="12"/>
        <item x="124"/>
        <item x="199"/>
        <item x="138"/>
        <item x="60"/>
        <item x="45"/>
        <item x="33"/>
        <item x="18"/>
        <item x="73"/>
        <item x="165"/>
        <item x="9"/>
        <item x="92"/>
        <item x="158"/>
        <item x="48"/>
        <item x="74"/>
        <item x="64"/>
        <item x="129"/>
        <item x="53"/>
        <item x="203"/>
        <item x="213"/>
        <item x="131"/>
        <item x="214"/>
        <item x="167"/>
        <item x="56"/>
        <item x="134"/>
        <item x="84"/>
        <item x="154"/>
        <item x="67"/>
        <item x="125"/>
        <item x="32"/>
        <item x="85"/>
        <item x="202"/>
        <item x="168"/>
        <item x="143"/>
        <item x="162"/>
        <item x="156"/>
        <item x="110"/>
        <item x="47"/>
        <item x="88"/>
        <item x="175"/>
        <item x="55"/>
        <item x="141"/>
        <item x="70"/>
        <item x="44"/>
        <item x="127"/>
        <item x="133"/>
        <item x="135"/>
        <item x="112"/>
        <item x="122"/>
        <item x="91"/>
        <item x="6"/>
        <item x="118"/>
        <item x="11"/>
        <item x="30"/>
        <item x="66"/>
        <item x="130"/>
        <item x="153"/>
        <item x="113"/>
        <item x="16"/>
        <item x="43"/>
        <item x="94"/>
        <item x="211"/>
        <item x="87"/>
        <item x="139"/>
        <item x="218"/>
        <item x="8"/>
        <item x="184"/>
        <item x="193"/>
        <item x="123"/>
        <item x="225"/>
        <item x="0"/>
        <item x="164"/>
        <item x="197"/>
        <item x="201"/>
        <item x="102"/>
        <item x="69"/>
        <item x="222"/>
        <item x="192"/>
        <item x="220"/>
        <item x="140"/>
        <item x="149"/>
        <item x="227"/>
        <item t="default"/>
      </items>
    </pivotField>
    <pivotField axis="axisCol" showAll="0">
      <items count="7">
        <item x="0"/>
        <item h="1" x="4"/>
        <item h="1" x="5"/>
        <item h="1" x="1"/>
        <item h="1" x="2"/>
        <item h="1" x="3"/>
        <item t="default"/>
      </items>
    </pivotField>
    <pivotField axis="axisPage" showAll="0">
      <items count="7">
        <item x="2"/>
        <item x="1"/>
        <item x="5"/>
        <item x="0"/>
        <item x="4"/>
        <item x="3"/>
        <item t="default"/>
      </items>
    </pivotField>
    <pivotField axis="axisRow" showAll="0">
      <items count="4">
        <item x="2"/>
        <item x="0"/>
        <item x="1"/>
        <item t="default"/>
      </items>
    </pivotField>
    <pivotField showAll="0"/>
    <pivotField showAll="0"/>
    <pivotField showAll="0">
      <items count="4">
        <item x="1"/>
        <item h="1" x="0"/>
        <item h="1" x="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4">
    <i>
      <x/>
    </i>
    <i>
      <x v="1"/>
    </i>
    <i>
      <x v="2"/>
    </i>
    <i t="grand">
      <x/>
    </i>
  </rowItems>
  <colFields count="1">
    <field x="2"/>
  </colFields>
  <colItems count="2">
    <i>
      <x/>
    </i>
    <i t="grand">
      <x/>
    </i>
  </colItems>
  <pageFields count="1">
    <pageField fld="3" hier="-1"/>
  </pageFields>
  <dataFields count="1">
    <dataField name="Count of Crime_ID" fld="0" subtotal="count" baseField="0" baseItem="0"/>
  </dataFields>
  <chartFormats count="9">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3" format="2" series="1">
      <pivotArea type="data" outline="0" fieldPosition="0">
        <references count="2">
          <reference field="4294967294" count="1" selected="0">
            <x v="0"/>
          </reference>
          <reference field="2" count="1" selected="0">
            <x v="2"/>
          </reference>
        </references>
      </pivotArea>
    </chartFormat>
    <chartFormat chart="3" format="3" series="1">
      <pivotArea type="data" outline="0" fieldPosition="0">
        <references count="2">
          <reference field="4294967294" count="1" selected="0">
            <x v="0"/>
          </reference>
          <reference field="2" count="1" selected="0">
            <x v="3"/>
          </reference>
        </references>
      </pivotArea>
    </chartFormat>
    <chartFormat chart="3" format="4" series="1">
      <pivotArea type="data" outline="0" fieldPosition="0">
        <references count="2">
          <reference field="4294967294" count="1" selected="0">
            <x v="0"/>
          </reference>
          <reference field="2" count="1" selected="0">
            <x v="4"/>
          </reference>
        </references>
      </pivotArea>
    </chartFormat>
    <chartFormat chart="3" format="5" series="1">
      <pivotArea type="data" outline="0" fieldPosition="0">
        <references count="2">
          <reference field="4294967294" count="1" selected="0">
            <x v="0"/>
          </reference>
          <reference field="2" count="1" selected="0">
            <x v="5"/>
          </reference>
        </references>
      </pivotArea>
    </chartFormat>
    <chartFormat chart="3" format="6">
      <pivotArea type="data" outline="0" fieldPosition="0">
        <references count="3">
          <reference field="4294967294" count="1" selected="0">
            <x v="0"/>
          </reference>
          <reference field="2" count="1" selected="0">
            <x v="0"/>
          </reference>
          <reference field="4" count="1" selected="0">
            <x v="0"/>
          </reference>
        </references>
      </pivotArea>
    </chartFormat>
    <chartFormat chart="3" format="7">
      <pivotArea type="data" outline="0" fieldPosition="0">
        <references count="3">
          <reference field="4294967294" count="1" selected="0">
            <x v="0"/>
          </reference>
          <reference field="2" count="1" selected="0">
            <x v="0"/>
          </reference>
          <reference field="4" count="1" selected="0">
            <x v="1"/>
          </reference>
        </references>
      </pivotArea>
    </chartFormat>
    <chartFormat chart="3" format="8">
      <pivotArea type="data" outline="0" fieldPosition="0">
        <references count="3">
          <reference field="4294967294" count="1" selected="0">
            <x v="0"/>
          </reference>
          <reference field="2"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24</v>
  </rv>
</rvData>
</file>

<file path=xl/richData/rdrichvaluestructure.xml><?xml version="1.0" encoding="utf-8"?>
<rvStructures xmlns="http://schemas.microsoft.com/office/spreadsheetml/2017/richdata" count="1">
  <s t="_error">
    <k n="errorType"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 xr10:uid="{8213063F-971E-4CBB-A541-15F507330EE0}" sourceName="District">
  <pivotTables>
    <pivotTable tabId="50" name="PivotTable27"/>
    <pivotTable tabId="50" name="PivotTable28"/>
  </pivotTables>
  <data>
    <tabular pivotCacheId="1630387265">
      <items count="6">
        <i x="2" s="1"/>
        <i x="1" s="1"/>
        <i x="5"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e_Status" xr10:uid="{1C3EAE4B-9088-449E-8B41-53D6FF554288}" sourceName="Case_Status">
  <pivotTables>
    <pivotTable tabId="50" name="PivotTable28"/>
  </pivotTables>
  <data>
    <tabular pivotCacheId="1630387265">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_Level" xr10:uid="{2734815D-191E-4C71-940E-3EE7041AE097}" sourceName="Severity_Level">
  <pivotTables>
    <pivotTable tabId="50" name="PivotTable31"/>
    <pivotTable tabId="50" name="PivotTable34"/>
  </pivotTables>
  <data>
    <tabular pivotCacheId="1630387265">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_Type" xr10:uid="{C1BD544C-7F28-43E2-8EB0-DB4CABE7FAEE}" sourceName="Crime_Type">
  <pivotTables>
    <pivotTable tabId="50" name="PivotTable32"/>
  </pivotTables>
  <data>
    <tabular pivotCacheId="1630387265">
      <items count="6">
        <i x="0" s="1"/>
        <i x="4" s="1"/>
        <i x="5"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_month_name" xr10:uid="{F82F14F5-143F-4BE1-AE18-D0CC444453F8}" sourceName="Crime_month name">
  <pivotTables>
    <pivotTable tabId="50" name="PivotTable34"/>
  </pivotTables>
  <data>
    <tabular pivotCacheId="1630387265">
      <items count="13">
        <i x="3" s="1"/>
        <i x="5" s="1"/>
        <i x="10" s="1"/>
        <i x="6" s="1"/>
        <i x="4" s="1"/>
        <i x="1"/>
        <i x="0" s="1"/>
        <i x="11" s="1"/>
        <i x="8" s="1"/>
        <i x="7" s="1"/>
        <i x="9" s="1"/>
        <i x="2" s="1"/>
        <i x="1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_Type1" xr10:uid="{DB74DDB3-A8B4-4C38-8B26-44373F661AC1}" sourceName="Crime_Type">
  <pivotTables>
    <pivotTable tabId="50" name="PivotTable36"/>
  </pivotTables>
  <data>
    <tabular pivotCacheId="1630387265">
      <items count="6">
        <i x="0" s="1"/>
        <i x="4" s="1"/>
        <i x="5" s="1"/>
        <i x="1" s="1"/>
        <i x="2"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ctim_Gender" xr10:uid="{D1F09D5F-5731-49CC-9354-E7EE109A0027}" sourceName="Victim_Gender">
  <pivotTables>
    <pivotTable tabId="50" name="PivotTable36"/>
  </pivotTables>
  <data>
    <tabular pivotCacheId="1630387265">
      <items count="3">
        <i x="2" s="1"/>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_Type2" xr10:uid="{4759A5C2-9492-4F61-83F2-45B9BA22BB59}" sourceName="Crime_Type">
  <pivotTables>
    <pivotTable tabId="50" name="PivotTable2"/>
  </pivotTables>
  <data>
    <tabular pivotCacheId="1085431351">
      <items count="6">
        <i x="0" s="1"/>
        <i x="4"/>
        <i x="5"/>
        <i x="1"/>
        <i x="2"/>
        <i x="3"/>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_Type3" xr10:uid="{C7F1E9C1-2308-406C-AF72-FBB242076830}" sourceName="Crime_Type">
  <pivotTables>
    <pivotTable tabId="50" name="PivotTable3"/>
  </pivotTables>
  <data>
    <tabular pivotCacheId="1085431351">
      <items count="6">
        <i x="0" s="1"/>
        <i x="4" s="1"/>
        <i x="5" s="1"/>
        <i x="1" s="1"/>
        <i x="2" s="1"/>
        <i x="3"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1" xr10:uid="{B022DB3A-3E3D-4F9B-BE58-739088071813}" sourceName="District">
  <pivotTables>
    <pivotTable tabId="50" name="PivotTable3"/>
  </pivotTables>
  <data>
    <tabular pivotCacheId="1085431351">
      <items count="6">
        <i x="2" s="1"/>
        <i x="1" s="1"/>
        <i x="5" s="1"/>
        <i x="0" s="1"/>
        <i x="4" s="1"/>
        <i x="3"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_Type4" xr10:uid="{0BBC8B5D-19F0-45B4-BC41-199F750E3A9F}" sourceName="Crime_Type">
  <pivotTables>
    <pivotTable tabId="50" name="PivotTable4"/>
  </pivotTables>
  <data>
    <tabular pivotCacheId="1085431351">
      <items count="6">
        <i x="0" s="1"/>
        <i x="4" s="1"/>
        <i x="5" s="1"/>
        <i x="1" s="1"/>
        <i x="2" s="1"/>
        <i x="3"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_Year1" xr10:uid="{00BB2ACF-81D8-4570-BFC1-6612E3D13F9F}" sourceName="Crime_Year">
  <pivotTables>
    <pivotTable tabId="50" name="PivotTable4"/>
  </pivotTables>
  <data>
    <tabular pivotCacheId="1085431351">
      <items count="3">
        <i x="1" s="1"/>
        <i x="0"/>
        <i x="2"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_Type5" xr10:uid="{664BE821-A9DB-472F-B6F4-364FDE16D474}" sourceName="Crime_Type">
  <pivotTables>
    <pivotTable tabId="50" name="PivotTable27"/>
  </pivotTables>
  <data>
    <tabular pivotCacheId="1630387265">
      <items count="6">
        <i x="0" s="1"/>
        <i x="4"/>
        <i x="5"/>
        <i x="1"/>
        <i x="2"/>
        <i x="3"/>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ctim_Gender1" xr10:uid="{6E63E32A-5531-4F38-B73D-D92659999661}" sourceName="Victim_Gender">
  <pivotTables>
    <pivotTable tabId="50" name="PivotTable2"/>
  </pivotTables>
  <data>
    <tabular pivotCacheId="108543135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ct" xr10:uid="{1C7EAE0D-A86B-4C82-B183-650F3605282E}" cache="Slicer_District" caption="District" style="SlicerStyleLight4" rowHeight="251883"/>
  <slicer name="Case_Status" xr10:uid="{C7A5822F-DDBC-4EB1-863B-D7853B74CFA5}" cache="Slicer_Case_Status" caption="Case_Status" style="SlicerStyleLight4" rowHeight="251883"/>
  <slicer name="Severity_Level" xr10:uid="{2DC55955-2165-4958-A0EF-B96A2A9C1B87}" cache="Slicer_Severity_Level" caption="Severity_Level" style="SlicerStyleLight4" rowHeight="251883"/>
  <slicer name="Crime_Type" xr10:uid="{6E741F37-2451-4EE7-AA2D-6A7D766F6256}" cache="Slicer_Crime_Type" caption="Crime_Type" style="SlicerStyleLight4" rowHeight="251883"/>
  <slicer name="Crime_month name" xr10:uid="{A1548939-8FF5-42E4-B93D-98BEC0574A44}" cache="Slicer_Crime_month_name" caption="Crime_month name" startItem="4" style="SlicerStyleLight4" rowHeight="251883"/>
  <slicer name="Crime_Type 1" xr10:uid="{8A778D53-9376-47B2-9136-5776077DEDBB}" cache="Slicer_Crime_Type1" caption="Crime_Type" rowHeight="251883"/>
  <slicer name="Victim_Gender" xr10:uid="{3AE0B59B-D665-4066-A2F5-30CF051A31B7}" cache="Slicer_Victim_Gender" caption="Victim_Gender" rowHeight="251883"/>
  <slicer name="Crime_Type 2" xr10:uid="{A24CCE4C-2342-44A7-94BA-A3C241D0683A}" cache="Slicer_Crime_Type2" caption="Crime_Type" rowHeight="251883"/>
  <slicer name="Crime_Type 3" xr10:uid="{D1C83778-1D74-4C6F-BA6A-FC29C83549AB}" cache="Slicer_Crime_Type3" caption="Crime_Type" rowHeight="251883"/>
  <slicer name="District 1" xr10:uid="{863E712E-D9C1-49E3-AAE6-48006E43F707}" cache="Slicer_District1" caption="District" style="SlicerStyleLight4" rowHeight="251883"/>
  <slicer name="Crime_Type 4" xr10:uid="{CB4C35A2-F95C-4894-9046-94CC6123F35D}" cache="Slicer_Crime_Type4" caption="Crime_Type" style="SlicerStyleLight4" rowHeight="251883"/>
  <slicer name="Crime_Year 1" xr10:uid="{2E4E393D-6E2C-4F40-8E1C-5B9B343AD381}" cache="Slicer_Crime_Year1" caption="Crime_Year" style="SlicerStyleLight4" rowHeight="251883"/>
  <slicer name="Crime_Type 5" xr10:uid="{D078729C-116D-487C-AD4F-B8EE6200E57C}" cache="Slicer_Crime_Type5" caption="Crime_Type" rowHeight="251883"/>
  <slicer name="Victim_Gender 1" xr10:uid="{4A1AECAD-FF66-47D0-964C-D518F5D361BD}" cache="Slicer_Victim_Gender1" caption="Victim_Gende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0FC2C8-3EAD-4BCF-8980-0D964A5097AA}" name="Table1" displayName="Table1" ref="A1:N293" totalsRowShown="0" headerRowDxfId="18">
  <autoFilter ref="A1:N293" xr:uid="{370FC2C8-3EAD-4BCF-8980-0D964A5097AA}"/>
  <sortState xmlns:xlrd2="http://schemas.microsoft.com/office/spreadsheetml/2017/richdata2" ref="A2:N293">
    <sortCondition descending="1" ref="A1:A293"/>
  </sortState>
  <tableColumns count="14">
    <tableColumn id="1" xr3:uid="{DA821318-A04C-4408-80BF-16521468C51E}" name="Crime_ID"/>
    <tableColumn id="2" xr3:uid="{C4EA10EF-AE14-49B2-917A-FD8B4207B19C}" name="Crime_Date" dataDxfId="17"/>
    <tableColumn id="3" xr3:uid="{D971D971-751D-44DF-9CF7-210059B40977}" name="Crime_Type"/>
    <tableColumn id="4" xr3:uid="{225DF007-1081-4C63-9EB9-403E2E1E66E0}" name="District"/>
    <tableColumn id="5" xr3:uid="{951758FF-FF4F-4662-B641-C5404528A39F}" name="Victim_Gender"/>
    <tableColumn id="6" xr3:uid="{BF012C71-F768-43E9-B6AB-C5535DE29453}" name="Case_Status"/>
    <tableColumn id="7" xr3:uid="{2A723DEC-FA56-4B45-BE43-BE041A2235ED}" name="Severity_Level"/>
    <tableColumn id="8" xr3:uid="{29CABD93-2F79-49CB-A204-D6D88946F5F1}" name="Crime_Year">
      <calculatedColumnFormula>IF(B2="","",YEAR(B2))</calculatedColumnFormula>
    </tableColumn>
    <tableColumn id="9" xr3:uid="{7A34D902-F857-4AF7-97CE-52FFFA556F53}" name="Crime_month">
      <calculatedColumnFormula>IF(B2="","",MONTH(B2))</calculatedColumnFormula>
    </tableColumn>
    <tableColumn id="10" xr3:uid="{D4EF4A13-C1B8-44BD-9940-C568CC6CE7B8}" name="Crime_month name">
      <calculatedColumnFormula>IF(B2="","",TEXT(B2,"mmmm"))</calculatedColumnFormula>
    </tableColumn>
    <tableColumn id="11" xr3:uid="{3FCC4290-CA90-4803-8DF7-04D63F206717}" name="Data_Quality_Flag">
      <calculatedColumnFormula>IF(COUNTBLANK(A2:G2)+COUNTIF(A2:G2,"Unknown")+COUNTIF(A2:G2,"-")&gt;0,"Needs Review","OK")</calculatedColumnFormula>
    </tableColumn>
    <tableColumn id="12" xr3:uid="{49497F70-7B5F-40E3-8592-55EE4F72DB98}" name="Duplicate_Flag">
      <calculatedColumnFormula>IF(COUNTIF(A$2:A2,A2)&gt;1,"Duplicate","Unique")</calculatedColumnFormula>
    </tableColumn>
    <tableColumn id="13" xr3:uid="{9F0957C6-CE2A-49DD-AC9A-DAA87D2770B6}" name="Record_Status">
      <calculatedColumnFormula>IF(OR(K2="Needs Review",L2="Duplicate"),"Review","Ready")</calculatedColumnFormula>
    </tableColumn>
    <tableColumn id="14" xr3:uid="{8AFE952B-FC58-4D4C-98B3-F180BD09E86F}" name="concat">
      <calculatedColumnFormula>clean_data!D2 &amp; " - " &amp; clean_data!C2</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12" Type="http://schemas.microsoft.com/office/2007/relationships/slicer" Target="../slicers/slicer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drawing" Target="../drawings/drawing2.xml"/><Relationship Id="rId5" Type="http://schemas.openxmlformats.org/officeDocument/2006/relationships/pivotTable" Target="../pivotTables/pivotTable13.xml"/><Relationship Id="rId10" Type="http://schemas.openxmlformats.org/officeDocument/2006/relationships/pivotTable" Target="../pivotTables/pivotTable18.xml"/><Relationship Id="rId4" Type="http://schemas.openxmlformats.org/officeDocument/2006/relationships/pivotTable" Target="../pivotTables/pivotTable12.xml"/><Relationship Id="rId9"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53477-3374-44B9-9910-D3F38A434485}">
  <dimension ref="A1:G301"/>
  <sheetViews>
    <sheetView topLeftCell="A40" zoomScale="140" zoomScaleNormal="140" workbookViewId="0">
      <selection activeCell="B55" sqref="A1:G301"/>
    </sheetView>
  </sheetViews>
  <sheetFormatPr defaultRowHeight="14.5"/>
  <cols>
    <col min="1" max="2" width="17.54296875" customWidth="1"/>
    <col min="3" max="3" width="14.08984375" customWidth="1"/>
    <col min="4" max="4" width="13.54296875" customWidth="1"/>
    <col min="5" max="5" width="14.453125" customWidth="1"/>
    <col min="6" max="6" width="15.6328125" customWidth="1"/>
    <col min="7" max="7" width="16.08984375" customWidth="1"/>
  </cols>
  <sheetData>
    <row r="1" spans="1:7">
      <c r="A1" s="2" t="s">
        <v>314</v>
      </c>
      <c r="B1" s="2" t="s">
        <v>313</v>
      </c>
      <c r="C1" s="2" t="s">
        <v>312</v>
      </c>
      <c r="D1" s="2" t="s">
        <v>311</v>
      </c>
      <c r="E1" s="2" t="s">
        <v>310</v>
      </c>
      <c r="F1" s="2" t="s">
        <v>309</v>
      </c>
      <c r="G1" s="2" t="s">
        <v>308</v>
      </c>
    </row>
    <row r="2" spans="1:7">
      <c r="A2" t="s">
        <v>307</v>
      </c>
      <c r="B2" s="1">
        <v>45849</v>
      </c>
      <c r="C2" t="s">
        <v>27</v>
      </c>
      <c r="D2" t="s">
        <v>21</v>
      </c>
      <c r="E2" t="s">
        <v>2</v>
      </c>
      <c r="F2" t="s">
        <v>1</v>
      </c>
    </row>
    <row r="3" spans="1:7">
      <c r="A3" t="s">
        <v>306</v>
      </c>
      <c r="B3" s="1">
        <v>45714</v>
      </c>
      <c r="C3" t="s">
        <v>22</v>
      </c>
      <c r="E3" t="s">
        <v>2</v>
      </c>
      <c r="F3" t="s">
        <v>1</v>
      </c>
      <c r="G3" t="s">
        <v>15</v>
      </c>
    </row>
    <row r="4" spans="1:7">
      <c r="A4" t="s">
        <v>305</v>
      </c>
      <c r="B4" s="1">
        <v>46168</v>
      </c>
      <c r="C4" t="s">
        <v>27</v>
      </c>
      <c r="D4" t="s">
        <v>7</v>
      </c>
      <c r="E4" t="s">
        <v>12</v>
      </c>
      <c r="G4" t="s">
        <v>15</v>
      </c>
    </row>
    <row r="5" spans="1:7">
      <c r="A5" t="s">
        <v>304</v>
      </c>
      <c r="B5" s="1">
        <v>45705</v>
      </c>
      <c r="C5" t="s">
        <v>36</v>
      </c>
      <c r="D5" t="s">
        <v>7</v>
      </c>
      <c r="E5" t="s">
        <v>2</v>
      </c>
      <c r="F5" t="s">
        <v>16</v>
      </c>
      <c r="G5" t="s">
        <v>6</v>
      </c>
    </row>
    <row r="6" spans="1:7">
      <c r="A6" t="s">
        <v>303</v>
      </c>
      <c r="B6" s="1">
        <v>46080</v>
      </c>
      <c r="C6" t="s">
        <v>36</v>
      </c>
      <c r="D6" t="s">
        <v>3</v>
      </c>
      <c r="E6" t="s">
        <v>12</v>
      </c>
      <c r="F6" t="s">
        <v>11</v>
      </c>
      <c r="G6" t="s">
        <v>6</v>
      </c>
    </row>
    <row r="7" spans="1:7">
      <c r="A7" t="s">
        <v>302</v>
      </c>
      <c r="B7" s="1">
        <v>45705</v>
      </c>
      <c r="C7" t="s">
        <v>31</v>
      </c>
      <c r="D7" t="s">
        <v>7</v>
      </c>
      <c r="E7" t="s">
        <v>2</v>
      </c>
      <c r="F7" t="s">
        <v>11</v>
      </c>
      <c r="G7" t="s">
        <v>15</v>
      </c>
    </row>
    <row r="8" spans="1:7">
      <c r="A8" t="s">
        <v>301</v>
      </c>
      <c r="B8" s="1">
        <v>46098</v>
      </c>
      <c r="C8" t="s">
        <v>27</v>
      </c>
      <c r="D8" t="s">
        <v>26</v>
      </c>
      <c r="E8" t="s">
        <v>12</v>
      </c>
      <c r="F8" t="s">
        <v>11</v>
      </c>
      <c r="G8" t="s">
        <v>15</v>
      </c>
    </row>
    <row r="9" spans="1:7">
      <c r="A9" t="s">
        <v>300</v>
      </c>
      <c r="B9" s="1">
        <v>45702</v>
      </c>
      <c r="C9" t="s">
        <v>31</v>
      </c>
      <c r="D9" t="s">
        <v>26</v>
      </c>
      <c r="E9" t="s">
        <v>2</v>
      </c>
      <c r="G9" t="s">
        <v>15</v>
      </c>
    </row>
    <row r="10" spans="1:7">
      <c r="A10" t="s">
        <v>299</v>
      </c>
      <c r="B10" s="1">
        <v>45816</v>
      </c>
      <c r="C10" t="s">
        <v>8</v>
      </c>
      <c r="D10" t="s">
        <v>26</v>
      </c>
      <c r="E10" t="s">
        <v>2</v>
      </c>
      <c r="F10" t="s">
        <v>11</v>
      </c>
      <c r="G10" t="s">
        <v>6</v>
      </c>
    </row>
    <row r="11" spans="1:7">
      <c r="A11" t="s">
        <v>298</v>
      </c>
      <c r="B11" s="1">
        <v>45755</v>
      </c>
      <c r="C11" t="s">
        <v>31</v>
      </c>
      <c r="D11" t="s">
        <v>33</v>
      </c>
      <c r="E11" t="s">
        <v>2</v>
      </c>
      <c r="F11" t="s">
        <v>11</v>
      </c>
      <c r="G11" t="s">
        <v>15</v>
      </c>
    </row>
    <row r="12" spans="1:7">
      <c r="A12" t="s">
        <v>297</v>
      </c>
      <c r="B12" s="1">
        <v>46118</v>
      </c>
      <c r="C12" t="s">
        <v>27</v>
      </c>
      <c r="D12" t="s">
        <v>3</v>
      </c>
      <c r="E12" t="s">
        <v>30</v>
      </c>
      <c r="F12" t="s">
        <v>11</v>
      </c>
      <c r="G12" t="s">
        <v>15</v>
      </c>
    </row>
    <row r="13" spans="1:7">
      <c r="B13" s="1">
        <v>46215</v>
      </c>
      <c r="C13" t="s">
        <v>36</v>
      </c>
      <c r="D13" t="s">
        <v>13</v>
      </c>
      <c r="E13" t="s">
        <v>2</v>
      </c>
      <c r="F13" t="s">
        <v>16</v>
      </c>
      <c r="G13" t="s">
        <v>6</v>
      </c>
    </row>
    <row r="14" spans="1:7">
      <c r="A14" t="s">
        <v>296</v>
      </c>
      <c r="B14" s="1">
        <v>46003</v>
      </c>
      <c r="C14" t="s">
        <v>27</v>
      </c>
      <c r="D14" t="s">
        <v>3</v>
      </c>
      <c r="E14" t="s">
        <v>12</v>
      </c>
      <c r="F14" t="s">
        <v>11</v>
      </c>
      <c r="G14" t="s">
        <v>15</v>
      </c>
    </row>
    <row r="15" spans="1:7">
      <c r="A15" t="s">
        <v>295</v>
      </c>
      <c r="B15" s="1">
        <v>46178</v>
      </c>
      <c r="C15" t="s">
        <v>27</v>
      </c>
      <c r="D15" t="s">
        <v>33</v>
      </c>
      <c r="E15" t="s">
        <v>2</v>
      </c>
      <c r="F15" t="s">
        <v>16</v>
      </c>
      <c r="G15" t="s">
        <v>15</v>
      </c>
    </row>
    <row r="16" spans="1:7">
      <c r="A16" t="s">
        <v>294</v>
      </c>
      <c r="B16" s="1">
        <v>45817</v>
      </c>
      <c r="C16" t="s">
        <v>4</v>
      </c>
      <c r="D16" t="s">
        <v>21</v>
      </c>
      <c r="E16" t="s">
        <v>2</v>
      </c>
      <c r="F16" t="s">
        <v>11</v>
      </c>
      <c r="G16" t="s">
        <v>10</v>
      </c>
    </row>
    <row r="17" spans="1:7">
      <c r="A17" t="s">
        <v>293</v>
      </c>
      <c r="B17" s="1">
        <v>45755</v>
      </c>
      <c r="D17" t="s">
        <v>33</v>
      </c>
      <c r="E17" t="s">
        <v>12</v>
      </c>
      <c r="F17" t="s">
        <v>1</v>
      </c>
      <c r="G17" t="s">
        <v>6</v>
      </c>
    </row>
    <row r="18" spans="1:7">
      <c r="A18" t="s">
        <v>292</v>
      </c>
      <c r="B18" s="1">
        <v>45974</v>
      </c>
      <c r="C18" t="s">
        <v>4</v>
      </c>
      <c r="D18" t="s">
        <v>26</v>
      </c>
      <c r="E18" t="s">
        <v>12</v>
      </c>
      <c r="F18" t="s">
        <v>11</v>
      </c>
      <c r="G18" t="s">
        <v>10</v>
      </c>
    </row>
    <row r="19" spans="1:7">
      <c r="A19" t="s">
        <v>291</v>
      </c>
      <c r="B19" s="1">
        <v>46042</v>
      </c>
      <c r="C19" t="s">
        <v>36</v>
      </c>
      <c r="D19" t="s">
        <v>7</v>
      </c>
      <c r="E19" t="s">
        <v>12</v>
      </c>
      <c r="F19" t="s">
        <v>1</v>
      </c>
    </row>
    <row r="20" spans="1:7">
      <c r="A20" t="s">
        <v>290</v>
      </c>
      <c r="B20" s="1">
        <v>45712</v>
      </c>
      <c r="C20" t="s">
        <v>27</v>
      </c>
      <c r="E20" t="s">
        <v>2</v>
      </c>
      <c r="F20" t="s">
        <v>47</v>
      </c>
      <c r="G20" t="s">
        <v>15</v>
      </c>
    </row>
    <row r="21" spans="1:7">
      <c r="A21" t="s">
        <v>289</v>
      </c>
      <c r="B21" s="1">
        <v>45919</v>
      </c>
      <c r="C21" t="s">
        <v>36</v>
      </c>
      <c r="D21" t="s">
        <v>7</v>
      </c>
      <c r="E21" t="s">
        <v>2</v>
      </c>
      <c r="F21" t="s">
        <v>11</v>
      </c>
      <c r="G21" t="s">
        <v>6</v>
      </c>
    </row>
    <row r="22" spans="1:7">
      <c r="A22" t="s">
        <v>288</v>
      </c>
      <c r="B22" s="1">
        <v>46068</v>
      </c>
      <c r="C22" t="s">
        <v>8</v>
      </c>
      <c r="D22" t="s">
        <v>3</v>
      </c>
      <c r="E22" t="s">
        <v>12</v>
      </c>
      <c r="F22" t="s">
        <v>1</v>
      </c>
      <c r="G22" t="s">
        <v>6</v>
      </c>
    </row>
    <row r="23" spans="1:7">
      <c r="A23" t="s">
        <v>287</v>
      </c>
      <c r="B23" s="1" t="s">
        <v>220</v>
      </c>
      <c r="C23" t="s">
        <v>36</v>
      </c>
      <c r="D23" t="s">
        <v>7</v>
      </c>
      <c r="E23" t="s">
        <v>2</v>
      </c>
      <c r="F23" t="s">
        <v>16</v>
      </c>
      <c r="G23" t="s">
        <v>6</v>
      </c>
    </row>
    <row r="24" spans="1:7">
      <c r="A24" t="s">
        <v>286</v>
      </c>
      <c r="B24" s="1">
        <v>45782</v>
      </c>
      <c r="C24" t="s">
        <v>27</v>
      </c>
      <c r="D24" t="s">
        <v>3</v>
      </c>
      <c r="E24" t="s">
        <v>2</v>
      </c>
      <c r="G24" t="s">
        <v>15</v>
      </c>
    </row>
    <row r="25" spans="1:7">
      <c r="A25" t="s">
        <v>285</v>
      </c>
      <c r="B25" s="1">
        <v>46167</v>
      </c>
      <c r="D25" t="s">
        <v>21</v>
      </c>
      <c r="E25" t="s">
        <v>2</v>
      </c>
      <c r="F25" t="s">
        <v>1</v>
      </c>
      <c r="G25" t="s">
        <v>6</v>
      </c>
    </row>
    <row r="26" spans="1:7">
      <c r="A26" t="s">
        <v>284</v>
      </c>
      <c r="B26" s="1">
        <v>45885</v>
      </c>
      <c r="D26" t="s">
        <v>21</v>
      </c>
      <c r="E26" t="s">
        <v>2</v>
      </c>
      <c r="F26" t="s">
        <v>16</v>
      </c>
      <c r="G26" t="s">
        <v>15</v>
      </c>
    </row>
    <row r="27" spans="1:7">
      <c r="A27" t="s">
        <v>283</v>
      </c>
      <c r="B27" s="1" t="s">
        <v>147</v>
      </c>
      <c r="C27" t="s">
        <v>8</v>
      </c>
      <c r="D27" t="s">
        <v>33</v>
      </c>
      <c r="E27" t="s">
        <v>2</v>
      </c>
      <c r="F27" t="s">
        <v>1</v>
      </c>
      <c r="G27" t="s">
        <v>6</v>
      </c>
    </row>
    <row r="28" spans="1:7">
      <c r="A28" t="s">
        <v>282</v>
      </c>
      <c r="B28" s="1">
        <v>45971</v>
      </c>
      <c r="C28" t="s">
        <v>4</v>
      </c>
      <c r="D28" t="s">
        <v>33</v>
      </c>
      <c r="E28" t="s">
        <v>2</v>
      </c>
      <c r="F28" t="s">
        <v>1</v>
      </c>
      <c r="G28" t="s">
        <v>10</v>
      </c>
    </row>
    <row r="29" spans="1:7">
      <c r="A29" t="s">
        <v>281</v>
      </c>
      <c r="B29" s="1">
        <v>45922</v>
      </c>
      <c r="C29" t="s">
        <v>8</v>
      </c>
      <c r="D29" t="s">
        <v>3</v>
      </c>
      <c r="E29" t="s">
        <v>2</v>
      </c>
      <c r="F29" t="s">
        <v>1</v>
      </c>
      <c r="G29" t="s">
        <v>6</v>
      </c>
    </row>
    <row r="30" spans="1:7">
      <c r="A30" t="s">
        <v>280</v>
      </c>
      <c r="B30" s="1">
        <v>46136</v>
      </c>
      <c r="C30" t="s">
        <v>36</v>
      </c>
      <c r="D30" t="s">
        <v>3</v>
      </c>
      <c r="E30" t="s">
        <v>30</v>
      </c>
      <c r="F30" t="s">
        <v>1</v>
      </c>
      <c r="G30" t="s">
        <v>6</v>
      </c>
    </row>
    <row r="31" spans="1:7">
      <c r="A31" t="s">
        <v>279</v>
      </c>
      <c r="B31" s="1"/>
      <c r="C31" t="s">
        <v>4</v>
      </c>
      <c r="D31" t="s">
        <v>33</v>
      </c>
      <c r="E31" t="s">
        <v>30</v>
      </c>
      <c r="F31" t="s">
        <v>1</v>
      </c>
      <c r="G31" t="s">
        <v>10</v>
      </c>
    </row>
    <row r="32" spans="1:7">
      <c r="A32" t="s">
        <v>278</v>
      </c>
      <c r="B32" s="1">
        <v>46208</v>
      </c>
      <c r="C32" t="s">
        <v>22</v>
      </c>
      <c r="D32" t="s">
        <v>26</v>
      </c>
      <c r="E32" t="s">
        <v>30</v>
      </c>
      <c r="F32" t="s">
        <v>11</v>
      </c>
      <c r="G32" t="s">
        <v>15</v>
      </c>
    </row>
    <row r="33" spans="1:7">
      <c r="A33" t="s">
        <v>277</v>
      </c>
      <c r="B33" s="1">
        <v>46182</v>
      </c>
      <c r="C33" t="s">
        <v>27</v>
      </c>
      <c r="D33" t="s">
        <v>33</v>
      </c>
      <c r="E33" t="s">
        <v>0</v>
      </c>
      <c r="F33" t="s">
        <v>11</v>
      </c>
      <c r="G33" t="s">
        <v>15</v>
      </c>
    </row>
    <row r="34" spans="1:7">
      <c r="A34" t="s">
        <v>276</v>
      </c>
      <c r="B34" s="1">
        <v>45671</v>
      </c>
      <c r="C34" t="s">
        <v>8</v>
      </c>
      <c r="D34" t="s">
        <v>7</v>
      </c>
      <c r="E34" t="s">
        <v>12</v>
      </c>
      <c r="F34" t="s">
        <v>11</v>
      </c>
      <c r="G34" t="s">
        <v>6</v>
      </c>
    </row>
    <row r="35" spans="1:7">
      <c r="A35" t="s">
        <v>275</v>
      </c>
      <c r="B35" s="1">
        <v>45853</v>
      </c>
      <c r="C35" t="s">
        <v>31</v>
      </c>
      <c r="D35" t="s">
        <v>33</v>
      </c>
      <c r="E35" t="s">
        <v>12</v>
      </c>
      <c r="F35" t="s">
        <v>11</v>
      </c>
      <c r="G35" t="s">
        <v>15</v>
      </c>
    </row>
    <row r="36" spans="1:7">
      <c r="A36" t="s">
        <v>274</v>
      </c>
      <c r="B36" s="1">
        <v>45680</v>
      </c>
      <c r="C36" t="s">
        <v>31</v>
      </c>
      <c r="D36" t="s">
        <v>7</v>
      </c>
      <c r="F36" t="s">
        <v>1</v>
      </c>
      <c r="G36" t="s">
        <v>15</v>
      </c>
    </row>
    <row r="37" spans="1:7">
      <c r="A37" t="s">
        <v>273</v>
      </c>
      <c r="B37" s="1">
        <v>45761</v>
      </c>
      <c r="C37" t="s">
        <v>4</v>
      </c>
      <c r="D37" t="s">
        <v>13</v>
      </c>
      <c r="E37" t="s">
        <v>2</v>
      </c>
      <c r="F37" t="s">
        <v>16</v>
      </c>
      <c r="G37" t="s">
        <v>10</v>
      </c>
    </row>
    <row r="38" spans="1:7">
      <c r="B38" s="1">
        <v>45822</v>
      </c>
      <c r="C38" t="s">
        <v>8</v>
      </c>
      <c r="D38" t="s">
        <v>3</v>
      </c>
      <c r="E38" t="s">
        <v>30</v>
      </c>
      <c r="F38" t="s">
        <v>1</v>
      </c>
      <c r="G38" t="s">
        <v>6</v>
      </c>
    </row>
    <row r="39" spans="1:7">
      <c r="A39" t="s">
        <v>272</v>
      </c>
      <c r="B39" s="1">
        <v>45957</v>
      </c>
      <c r="C39" t="s">
        <v>27</v>
      </c>
      <c r="D39" t="s">
        <v>21</v>
      </c>
      <c r="E39" t="s">
        <v>2</v>
      </c>
      <c r="F39" t="s">
        <v>11</v>
      </c>
    </row>
    <row r="40" spans="1:7">
      <c r="A40" t="s">
        <v>271</v>
      </c>
      <c r="B40" s="1" t="s">
        <v>147</v>
      </c>
      <c r="D40" t="s">
        <v>21</v>
      </c>
      <c r="E40" t="s">
        <v>2</v>
      </c>
      <c r="F40" t="s">
        <v>16</v>
      </c>
      <c r="G40" t="s">
        <v>6</v>
      </c>
    </row>
    <row r="41" spans="1:7">
      <c r="A41" t="s">
        <v>270</v>
      </c>
      <c r="B41" s="1">
        <v>45995</v>
      </c>
      <c r="C41" t="s">
        <v>36</v>
      </c>
      <c r="D41" t="s">
        <v>21</v>
      </c>
      <c r="E41" t="s">
        <v>2</v>
      </c>
      <c r="G41" t="s">
        <v>6</v>
      </c>
    </row>
    <row r="42" spans="1:7">
      <c r="A42" t="s">
        <v>269</v>
      </c>
      <c r="B42" s="1"/>
      <c r="C42" t="s">
        <v>36</v>
      </c>
      <c r="D42" t="s">
        <v>7</v>
      </c>
      <c r="E42" t="s">
        <v>2</v>
      </c>
      <c r="F42" t="s">
        <v>1</v>
      </c>
      <c r="G42" t="s">
        <v>6</v>
      </c>
    </row>
    <row r="43" spans="1:7">
      <c r="A43" t="s">
        <v>268</v>
      </c>
      <c r="B43" s="1">
        <v>46216</v>
      </c>
      <c r="C43" t="s">
        <v>36</v>
      </c>
      <c r="D43" t="s">
        <v>13</v>
      </c>
      <c r="E43" t="s">
        <v>12</v>
      </c>
      <c r="F43" t="s">
        <v>11</v>
      </c>
      <c r="G43" t="s">
        <v>6</v>
      </c>
    </row>
    <row r="44" spans="1:7">
      <c r="A44" t="s">
        <v>267</v>
      </c>
      <c r="B44" s="1">
        <v>45964</v>
      </c>
      <c r="C44" t="s">
        <v>4</v>
      </c>
      <c r="D44" t="s">
        <v>7</v>
      </c>
      <c r="E44" t="s">
        <v>2</v>
      </c>
      <c r="F44" t="s">
        <v>1</v>
      </c>
      <c r="G44" t="s">
        <v>10</v>
      </c>
    </row>
    <row r="45" spans="1:7">
      <c r="A45" t="s">
        <v>266</v>
      </c>
      <c r="B45" s="1">
        <v>45967</v>
      </c>
      <c r="C45" t="s">
        <v>36</v>
      </c>
      <c r="D45" t="s">
        <v>3</v>
      </c>
      <c r="E45" t="s">
        <v>2</v>
      </c>
      <c r="F45" t="s">
        <v>11</v>
      </c>
      <c r="G45" t="s">
        <v>6</v>
      </c>
    </row>
    <row r="46" spans="1:7">
      <c r="B46" s="1">
        <v>46017</v>
      </c>
      <c r="C46" t="s">
        <v>8</v>
      </c>
      <c r="D46" t="s">
        <v>33</v>
      </c>
      <c r="E46" t="s">
        <v>2</v>
      </c>
      <c r="F46" t="s">
        <v>16</v>
      </c>
      <c r="G46" t="s">
        <v>6</v>
      </c>
    </row>
    <row r="47" spans="1:7">
      <c r="A47" t="s">
        <v>265</v>
      </c>
      <c r="B47" s="1">
        <v>46222</v>
      </c>
      <c r="C47" t="s">
        <v>31</v>
      </c>
      <c r="D47" t="s">
        <v>3</v>
      </c>
      <c r="E47" t="s">
        <v>2</v>
      </c>
      <c r="F47" t="s">
        <v>11</v>
      </c>
      <c r="G47" t="s">
        <v>15</v>
      </c>
    </row>
    <row r="48" spans="1:7">
      <c r="A48" t="s">
        <v>264</v>
      </c>
      <c r="B48" s="1">
        <v>46176</v>
      </c>
      <c r="C48" t="s">
        <v>27</v>
      </c>
      <c r="E48" t="s">
        <v>2</v>
      </c>
      <c r="F48" t="s">
        <v>11</v>
      </c>
      <c r="G48" t="s">
        <v>15</v>
      </c>
    </row>
    <row r="49" spans="1:7">
      <c r="A49" t="s">
        <v>263</v>
      </c>
      <c r="B49" s="1">
        <v>45729</v>
      </c>
      <c r="C49" t="s">
        <v>36</v>
      </c>
      <c r="D49" t="s">
        <v>3</v>
      </c>
      <c r="E49" t="s">
        <v>2</v>
      </c>
      <c r="F49" t="s">
        <v>16</v>
      </c>
      <c r="G49" t="s">
        <v>6</v>
      </c>
    </row>
    <row r="50" spans="1:7">
      <c r="A50" t="s">
        <v>262</v>
      </c>
      <c r="B50" s="1"/>
      <c r="C50" t="s">
        <v>4</v>
      </c>
      <c r="D50" t="s">
        <v>21</v>
      </c>
      <c r="E50" t="s">
        <v>2</v>
      </c>
      <c r="F50" t="s">
        <v>1</v>
      </c>
      <c r="G50" t="s">
        <v>10</v>
      </c>
    </row>
    <row r="51" spans="1:7">
      <c r="A51" t="s">
        <v>261</v>
      </c>
      <c r="B51" s="1">
        <v>46156</v>
      </c>
      <c r="C51" t="s">
        <v>8</v>
      </c>
      <c r="D51" t="s">
        <v>33</v>
      </c>
      <c r="E51" t="s">
        <v>12</v>
      </c>
      <c r="F51" t="s">
        <v>47</v>
      </c>
      <c r="G51" t="s">
        <v>6</v>
      </c>
    </row>
    <row r="52" spans="1:7">
      <c r="A52" t="s">
        <v>260</v>
      </c>
      <c r="B52" s="1">
        <v>45909</v>
      </c>
      <c r="C52" t="s">
        <v>22</v>
      </c>
      <c r="D52" t="s">
        <v>26</v>
      </c>
      <c r="E52" t="s">
        <v>30</v>
      </c>
      <c r="F52" t="s">
        <v>16</v>
      </c>
      <c r="G52" t="s">
        <v>15</v>
      </c>
    </row>
    <row r="53" spans="1:7">
      <c r="A53" t="s">
        <v>259</v>
      </c>
      <c r="B53" s="1">
        <v>45765</v>
      </c>
      <c r="C53" t="s">
        <v>27</v>
      </c>
      <c r="D53" t="s">
        <v>21</v>
      </c>
      <c r="E53" t="s">
        <v>12</v>
      </c>
      <c r="F53" t="s">
        <v>11</v>
      </c>
    </row>
    <row r="54" spans="1:7">
      <c r="A54" t="s">
        <v>258</v>
      </c>
      <c r="B54" s="1"/>
      <c r="C54" t="s">
        <v>27</v>
      </c>
      <c r="D54" t="s">
        <v>3</v>
      </c>
      <c r="E54" t="s">
        <v>2</v>
      </c>
      <c r="F54" t="s">
        <v>1</v>
      </c>
      <c r="G54" t="s">
        <v>15</v>
      </c>
    </row>
    <row r="55" spans="1:7">
      <c r="A55" t="s">
        <v>257</v>
      </c>
      <c r="B55" s="1"/>
      <c r="C55" t="s">
        <v>27</v>
      </c>
      <c r="D55" t="s">
        <v>7</v>
      </c>
      <c r="E55" t="s">
        <v>2</v>
      </c>
      <c r="F55" t="s">
        <v>1</v>
      </c>
      <c r="G55" t="s">
        <v>15</v>
      </c>
    </row>
    <row r="56" spans="1:7">
      <c r="A56" t="s">
        <v>256</v>
      </c>
      <c r="B56" s="1">
        <v>46210</v>
      </c>
      <c r="C56" t="s">
        <v>27</v>
      </c>
      <c r="D56" t="s">
        <v>21</v>
      </c>
      <c r="E56" t="s">
        <v>2</v>
      </c>
      <c r="F56" t="s">
        <v>16</v>
      </c>
      <c r="G56" t="s">
        <v>15</v>
      </c>
    </row>
    <row r="57" spans="1:7">
      <c r="A57" t="s">
        <v>255</v>
      </c>
      <c r="B57" s="1">
        <v>45870</v>
      </c>
      <c r="C57" t="s">
        <v>27</v>
      </c>
      <c r="D57" t="s">
        <v>21</v>
      </c>
      <c r="F57" t="s">
        <v>16</v>
      </c>
      <c r="G57" t="s">
        <v>15</v>
      </c>
    </row>
    <row r="58" spans="1:7">
      <c r="A58" t="s">
        <v>254</v>
      </c>
      <c r="B58" s="1"/>
      <c r="C58" t="s">
        <v>31</v>
      </c>
      <c r="D58" t="s">
        <v>3</v>
      </c>
      <c r="E58" t="s">
        <v>12</v>
      </c>
      <c r="F58" t="s">
        <v>16</v>
      </c>
      <c r="G58" t="s">
        <v>15</v>
      </c>
    </row>
    <row r="59" spans="1:7">
      <c r="A59" t="s">
        <v>253</v>
      </c>
      <c r="B59" s="1">
        <v>45710</v>
      </c>
      <c r="C59" t="s">
        <v>27</v>
      </c>
      <c r="D59" t="s">
        <v>7</v>
      </c>
      <c r="E59" t="s">
        <v>30</v>
      </c>
      <c r="F59" t="s">
        <v>16</v>
      </c>
      <c r="G59" t="s">
        <v>15</v>
      </c>
    </row>
    <row r="60" spans="1:7">
      <c r="A60" t="s">
        <v>252</v>
      </c>
      <c r="B60" s="1">
        <v>46172</v>
      </c>
      <c r="C60" t="s">
        <v>27</v>
      </c>
      <c r="D60" t="s">
        <v>3</v>
      </c>
      <c r="E60" t="s">
        <v>2</v>
      </c>
      <c r="F60" t="s">
        <v>16</v>
      </c>
      <c r="G60" t="s">
        <v>15</v>
      </c>
    </row>
    <row r="61" spans="1:7">
      <c r="A61" t="s">
        <v>112</v>
      </c>
      <c r="B61" s="1">
        <v>45807</v>
      </c>
      <c r="C61" t="s">
        <v>27</v>
      </c>
      <c r="D61" t="s">
        <v>13</v>
      </c>
      <c r="E61" t="s">
        <v>2</v>
      </c>
      <c r="F61" t="s">
        <v>1</v>
      </c>
      <c r="G61" t="s">
        <v>15</v>
      </c>
    </row>
    <row r="62" spans="1:7">
      <c r="A62" t="s">
        <v>251</v>
      </c>
      <c r="B62" s="1">
        <v>45793</v>
      </c>
      <c r="C62" t="s">
        <v>8</v>
      </c>
      <c r="E62" t="s">
        <v>2</v>
      </c>
      <c r="F62" t="s">
        <v>11</v>
      </c>
      <c r="G62" t="s">
        <v>6</v>
      </c>
    </row>
    <row r="63" spans="1:7">
      <c r="A63" t="s">
        <v>250</v>
      </c>
      <c r="B63" s="1">
        <v>46016</v>
      </c>
      <c r="C63" t="s">
        <v>31</v>
      </c>
      <c r="D63" t="s">
        <v>7</v>
      </c>
      <c r="F63" t="s">
        <v>16</v>
      </c>
      <c r="G63" t="s">
        <v>15</v>
      </c>
    </row>
    <row r="64" spans="1:7">
      <c r="A64" t="s">
        <v>249</v>
      </c>
      <c r="B64" s="1">
        <v>45844</v>
      </c>
      <c r="C64" t="s">
        <v>27</v>
      </c>
      <c r="D64" t="s">
        <v>7</v>
      </c>
      <c r="E64" t="s">
        <v>12</v>
      </c>
      <c r="F64" t="s">
        <v>1</v>
      </c>
      <c r="G64" t="s">
        <v>15</v>
      </c>
    </row>
    <row r="65" spans="1:7">
      <c r="A65" t="s">
        <v>248</v>
      </c>
      <c r="B65" s="1">
        <v>45826</v>
      </c>
      <c r="C65" t="s">
        <v>27</v>
      </c>
      <c r="D65" t="s">
        <v>220</v>
      </c>
      <c r="F65" t="s">
        <v>1</v>
      </c>
      <c r="G65" t="s">
        <v>15</v>
      </c>
    </row>
    <row r="66" spans="1:7">
      <c r="A66" t="s">
        <v>247</v>
      </c>
      <c r="B66" s="1">
        <v>46130</v>
      </c>
      <c r="C66" t="s">
        <v>27</v>
      </c>
      <c r="D66" t="s">
        <v>13</v>
      </c>
      <c r="F66" t="s">
        <v>16</v>
      </c>
      <c r="G66" t="s">
        <v>15</v>
      </c>
    </row>
    <row r="67" spans="1:7">
      <c r="A67" t="s">
        <v>246</v>
      </c>
      <c r="B67" s="1">
        <v>46037</v>
      </c>
      <c r="C67" t="s">
        <v>27</v>
      </c>
      <c r="D67" t="s">
        <v>3</v>
      </c>
      <c r="E67" t="s">
        <v>2</v>
      </c>
      <c r="F67" t="s">
        <v>11</v>
      </c>
      <c r="G67" t="s">
        <v>15</v>
      </c>
    </row>
    <row r="68" spans="1:7">
      <c r="A68" t="s">
        <v>245</v>
      </c>
      <c r="B68" s="1">
        <v>45932</v>
      </c>
      <c r="C68" t="s">
        <v>36</v>
      </c>
      <c r="D68" t="s">
        <v>7</v>
      </c>
      <c r="E68" t="s">
        <v>12</v>
      </c>
      <c r="G68" t="s">
        <v>6</v>
      </c>
    </row>
    <row r="69" spans="1:7">
      <c r="A69" t="s">
        <v>244</v>
      </c>
      <c r="B69" s="1">
        <v>45834</v>
      </c>
      <c r="C69" t="s">
        <v>27</v>
      </c>
      <c r="D69" t="s">
        <v>13</v>
      </c>
      <c r="E69" t="s">
        <v>30</v>
      </c>
      <c r="G69" t="s">
        <v>15</v>
      </c>
    </row>
    <row r="70" spans="1:7">
      <c r="A70" t="s">
        <v>243</v>
      </c>
      <c r="B70" s="1">
        <v>45845</v>
      </c>
      <c r="C70" t="s">
        <v>4</v>
      </c>
      <c r="D70" t="s">
        <v>7</v>
      </c>
      <c r="E70" t="s">
        <v>2</v>
      </c>
      <c r="F70" t="s">
        <v>1</v>
      </c>
      <c r="G70" t="s">
        <v>10</v>
      </c>
    </row>
    <row r="71" spans="1:7">
      <c r="A71" t="s">
        <v>242</v>
      </c>
      <c r="B71" s="1">
        <v>45774</v>
      </c>
      <c r="C71" t="s">
        <v>36</v>
      </c>
      <c r="D71" t="s">
        <v>3</v>
      </c>
      <c r="E71" t="s">
        <v>2</v>
      </c>
      <c r="F71" t="s">
        <v>1</v>
      </c>
      <c r="G71" t="s">
        <v>6</v>
      </c>
    </row>
    <row r="72" spans="1:7">
      <c r="A72" t="s">
        <v>241</v>
      </c>
      <c r="B72" s="1">
        <v>46092</v>
      </c>
      <c r="C72" t="s">
        <v>27</v>
      </c>
      <c r="D72" t="s">
        <v>7</v>
      </c>
      <c r="E72" t="s">
        <v>12</v>
      </c>
      <c r="F72" t="s">
        <v>1</v>
      </c>
      <c r="G72" t="s">
        <v>15</v>
      </c>
    </row>
    <row r="73" spans="1:7">
      <c r="B73" s="1">
        <v>45832</v>
      </c>
      <c r="C73" t="s">
        <v>36</v>
      </c>
      <c r="D73" t="s">
        <v>26</v>
      </c>
      <c r="E73" t="s">
        <v>12</v>
      </c>
      <c r="F73" t="s">
        <v>47</v>
      </c>
      <c r="G73" t="s">
        <v>6</v>
      </c>
    </row>
    <row r="74" spans="1:7">
      <c r="A74" t="s">
        <v>240</v>
      </c>
      <c r="B74" s="1">
        <v>45848</v>
      </c>
      <c r="C74" t="s">
        <v>31</v>
      </c>
      <c r="D74" t="s">
        <v>3</v>
      </c>
      <c r="E74" t="s">
        <v>2</v>
      </c>
      <c r="F74" t="s">
        <v>11</v>
      </c>
      <c r="G74" t="s">
        <v>15</v>
      </c>
    </row>
    <row r="75" spans="1:7">
      <c r="A75" t="s">
        <v>239</v>
      </c>
      <c r="B75" s="1">
        <v>46002</v>
      </c>
      <c r="D75" t="s">
        <v>3</v>
      </c>
      <c r="E75" t="s">
        <v>12</v>
      </c>
      <c r="F75" t="s">
        <v>16</v>
      </c>
      <c r="G75" t="s">
        <v>15</v>
      </c>
    </row>
    <row r="76" spans="1:7">
      <c r="A76" t="s">
        <v>238</v>
      </c>
      <c r="B76" s="1">
        <v>45825</v>
      </c>
      <c r="C76" t="s">
        <v>36</v>
      </c>
      <c r="D76" t="s">
        <v>3</v>
      </c>
      <c r="E76" t="s">
        <v>2</v>
      </c>
      <c r="F76" t="s">
        <v>16</v>
      </c>
      <c r="G76" t="s">
        <v>6</v>
      </c>
    </row>
    <row r="77" spans="1:7">
      <c r="A77" t="s">
        <v>237</v>
      </c>
      <c r="B77" s="1">
        <v>45975</v>
      </c>
      <c r="C77" t="s">
        <v>27</v>
      </c>
      <c r="E77" t="s">
        <v>2</v>
      </c>
      <c r="F77" t="s">
        <v>236</v>
      </c>
      <c r="G77" t="s">
        <v>15</v>
      </c>
    </row>
    <row r="78" spans="1:7">
      <c r="A78" t="s">
        <v>235</v>
      </c>
      <c r="B78" s="1">
        <v>45950</v>
      </c>
      <c r="C78" t="s">
        <v>31</v>
      </c>
      <c r="D78" t="s">
        <v>13</v>
      </c>
      <c r="E78" t="s">
        <v>12</v>
      </c>
      <c r="F78" t="s">
        <v>1</v>
      </c>
      <c r="G78" t="s">
        <v>15</v>
      </c>
    </row>
    <row r="79" spans="1:7">
      <c r="A79" t="s">
        <v>234</v>
      </c>
      <c r="B79" s="1">
        <v>45770</v>
      </c>
      <c r="C79" t="s">
        <v>36</v>
      </c>
      <c r="E79" t="s">
        <v>2</v>
      </c>
      <c r="F79" t="s">
        <v>47</v>
      </c>
      <c r="G79" t="s">
        <v>6</v>
      </c>
    </row>
    <row r="80" spans="1:7">
      <c r="A80" t="s">
        <v>233</v>
      </c>
      <c r="B80" s="1">
        <v>46052</v>
      </c>
      <c r="C80" t="s">
        <v>27</v>
      </c>
      <c r="D80" t="s">
        <v>26</v>
      </c>
      <c r="E80" t="s">
        <v>12</v>
      </c>
      <c r="G80" t="s">
        <v>15</v>
      </c>
    </row>
    <row r="81" spans="1:7">
      <c r="A81" t="s">
        <v>232</v>
      </c>
      <c r="B81" s="1">
        <v>46061</v>
      </c>
      <c r="C81" t="s">
        <v>27</v>
      </c>
      <c r="D81" t="s">
        <v>7</v>
      </c>
      <c r="E81" t="s">
        <v>2</v>
      </c>
      <c r="F81" t="s">
        <v>1</v>
      </c>
      <c r="G81" t="s">
        <v>15</v>
      </c>
    </row>
    <row r="82" spans="1:7">
      <c r="A82" t="s">
        <v>231</v>
      </c>
      <c r="B82" s="1">
        <v>45921</v>
      </c>
      <c r="C82" t="s">
        <v>36</v>
      </c>
      <c r="D82" t="s">
        <v>33</v>
      </c>
      <c r="E82" t="s">
        <v>12</v>
      </c>
      <c r="F82" t="s">
        <v>11</v>
      </c>
      <c r="G82" t="s">
        <v>6</v>
      </c>
    </row>
    <row r="83" spans="1:7">
      <c r="A83" t="s">
        <v>230</v>
      </c>
      <c r="B83" s="1">
        <v>46129</v>
      </c>
      <c r="C83" t="s">
        <v>27</v>
      </c>
      <c r="D83" t="s">
        <v>7</v>
      </c>
      <c r="E83" t="s">
        <v>2</v>
      </c>
      <c r="F83" t="s">
        <v>47</v>
      </c>
      <c r="G83" t="s">
        <v>15</v>
      </c>
    </row>
    <row r="84" spans="1:7">
      <c r="A84" t="s">
        <v>229</v>
      </c>
      <c r="B84" s="1">
        <v>45879</v>
      </c>
      <c r="C84" t="s">
        <v>31</v>
      </c>
      <c r="D84" t="s">
        <v>26</v>
      </c>
      <c r="E84" t="s">
        <v>2</v>
      </c>
      <c r="F84" t="s">
        <v>47</v>
      </c>
      <c r="G84" t="s">
        <v>15</v>
      </c>
    </row>
    <row r="85" spans="1:7">
      <c r="A85" t="s">
        <v>228</v>
      </c>
      <c r="B85" s="1">
        <v>45930</v>
      </c>
      <c r="C85" t="s">
        <v>8</v>
      </c>
      <c r="D85" t="s">
        <v>7</v>
      </c>
      <c r="E85" t="s">
        <v>2</v>
      </c>
      <c r="F85" t="s">
        <v>11</v>
      </c>
      <c r="G85" t="s">
        <v>6</v>
      </c>
    </row>
    <row r="86" spans="1:7">
      <c r="A86" t="s">
        <v>227</v>
      </c>
      <c r="B86" s="1">
        <v>46018</v>
      </c>
      <c r="C86" t="s">
        <v>8</v>
      </c>
      <c r="D86" t="s">
        <v>13</v>
      </c>
      <c r="E86" t="s">
        <v>12</v>
      </c>
      <c r="F86" t="s">
        <v>1</v>
      </c>
      <c r="G86" t="s">
        <v>6</v>
      </c>
    </row>
    <row r="87" spans="1:7">
      <c r="A87" t="s">
        <v>226</v>
      </c>
      <c r="B87" s="1">
        <v>45831</v>
      </c>
      <c r="C87" t="s">
        <v>4</v>
      </c>
      <c r="D87" t="s">
        <v>3</v>
      </c>
      <c r="E87" t="s">
        <v>30</v>
      </c>
      <c r="F87" t="s">
        <v>1</v>
      </c>
      <c r="G87" t="s">
        <v>10</v>
      </c>
    </row>
    <row r="88" spans="1:7">
      <c r="A88" t="s">
        <v>225</v>
      </c>
      <c r="B88" s="1">
        <v>45988</v>
      </c>
      <c r="C88" t="s">
        <v>27</v>
      </c>
      <c r="D88" t="s">
        <v>13</v>
      </c>
      <c r="E88" t="s">
        <v>12</v>
      </c>
      <c r="F88" t="s">
        <v>16</v>
      </c>
      <c r="G88" t="s">
        <v>15</v>
      </c>
    </row>
    <row r="89" spans="1:7">
      <c r="A89" t="s">
        <v>224</v>
      </c>
      <c r="B89" s="1">
        <v>45866</v>
      </c>
      <c r="C89" t="s">
        <v>36</v>
      </c>
      <c r="D89" t="s">
        <v>3</v>
      </c>
      <c r="E89" t="s">
        <v>30</v>
      </c>
      <c r="F89" t="s">
        <v>16</v>
      </c>
    </row>
    <row r="90" spans="1:7">
      <c r="A90" t="s">
        <v>223</v>
      </c>
      <c r="B90" s="1">
        <v>46199</v>
      </c>
      <c r="C90" t="s">
        <v>31</v>
      </c>
      <c r="D90" t="s">
        <v>3</v>
      </c>
      <c r="E90" t="s">
        <v>12</v>
      </c>
      <c r="F90" t="s">
        <v>47</v>
      </c>
      <c r="G90" t="s">
        <v>0</v>
      </c>
    </row>
    <row r="91" spans="1:7">
      <c r="A91" t="s">
        <v>99</v>
      </c>
      <c r="B91" s="1">
        <v>46108</v>
      </c>
      <c r="C91" t="s">
        <v>31</v>
      </c>
      <c r="D91" t="s">
        <v>13</v>
      </c>
      <c r="E91" t="s">
        <v>30</v>
      </c>
      <c r="F91" t="s">
        <v>11</v>
      </c>
      <c r="G91" t="s">
        <v>15</v>
      </c>
    </row>
    <row r="92" spans="1:7">
      <c r="A92" t="s">
        <v>222</v>
      </c>
      <c r="B92" s="1">
        <v>46054</v>
      </c>
      <c r="C92" t="s">
        <v>36</v>
      </c>
      <c r="D92" t="s">
        <v>26</v>
      </c>
      <c r="E92" t="s">
        <v>12</v>
      </c>
      <c r="F92" t="s">
        <v>47</v>
      </c>
      <c r="G92" t="s">
        <v>6</v>
      </c>
    </row>
    <row r="93" spans="1:7">
      <c r="A93" t="s">
        <v>221</v>
      </c>
      <c r="B93" s="1">
        <v>45853</v>
      </c>
      <c r="C93" t="s">
        <v>220</v>
      </c>
      <c r="D93" t="s">
        <v>3</v>
      </c>
      <c r="E93" t="s">
        <v>2</v>
      </c>
      <c r="F93" t="s">
        <v>16</v>
      </c>
      <c r="G93" t="s">
        <v>15</v>
      </c>
    </row>
    <row r="94" spans="1:7">
      <c r="A94" t="s">
        <v>219</v>
      </c>
      <c r="B94" s="1">
        <v>46087</v>
      </c>
      <c r="C94" t="s">
        <v>36</v>
      </c>
      <c r="D94" t="s">
        <v>3</v>
      </c>
      <c r="E94" t="s">
        <v>12</v>
      </c>
      <c r="F94" t="s">
        <v>16</v>
      </c>
      <c r="G94" t="s">
        <v>6</v>
      </c>
    </row>
    <row r="95" spans="1:7">
      <c r="A95" t="s">
        <v>218</v>
      </c>
      <c r="B95" s="1">
        <v>45679</v>
      </c>
      <c r="C95" t="s">
        <v>4</v>
      </c>
      <c r="D95" t="s">
        <v>3</v>
      </c>
      <c r="E95" t="s">
        <v>12</v>
      </c>
      <c r="F95" t="s">
        <v>1</v>
      </c>
      <c r="G95" t="s">
        <v>10</v>
      </c>
    </row>
    <row r="96" spans="1:7">
      <c r="A96" t="s">
        <v>217</v>
      </c>
      <c r="B96" s="1">
        <v>46218</v>
      </c>
      <c r="C96" t="s">
        <v>4</v>
      </c>
      <c r="D96" t="s">
        <v>7</v>
      </c>
      <c r="E96" t="s">
        <v>2</v>
      </c>
      <c r="F96" t="s">
        <v>16</v>
      </c>
      <c r="G96" t="s">
        <v>10</v>
      </c>
    </row>
    <row r="97" spans="1:7">
      <c r="A97" t="s">
        <v>216</v>
      </c>
      <c r="B97" s="1">
        <v>46232</v>
      </c>
      <c r="C97" t="s">
        <v>31</v>
      </c>
      <c r="D97" t="s">
        <v>33</v>
      </c>
      <c r="E97" t="s">
        <v>12</v>
      </c>
      <c r="F97" t="s">
        <v>1</v>
      </c>
      <c r="G97" t="s">
        <v>15</v>
      </c>
    </row>
    <row r="98" spans="1:7">
      <c r="A98" t="s">
        <v>215</v>
      </c>
      <c r="B98" s="1">
        <v>45719</v>
      </c>
      <c r="C98" t="s">
        <v>4</v>
      </c>
      <c r="D98" t="s">
        <v>3</v>
      </c>
      <c r="E98" t="s">
        <v>12</v>
      </c>
      <c r="F98" t="s">
        <v>11</v>
      </c>
    </row>
    <row r="99" spans="1:7">
      <c r="A99" t="s">
        <v>214</v>
      </c>
      <c r="B99" s="1">
        <v>46147</v>
      </c>
      <c r="C99" t="s">
        <v>27</v>
      </c>
      <c r="D99" t="s">
        <v>7</v>
      </c>
      <c r="E99" t="s">
        <v>12</v>
      </c>
      <c r="F99" t="s">
        <v>16</v>
      </c>
      <c r="G99" t="s">
        <v>15</v>
      </c>
    </row>
    <row r="100" spans="1:7">
      <c r="A100" t="s">
        <v>213</v>
      </c>
      <c r="B100" s="1">
        <v>45754</v>
      </c>
      <c r="C100" t="s">
        <v>27</v>
      </c>
      <c r="D100" t="s">
        <v>3</v>
      </c>
      <c r="F100" t="s">
        <v>11</v>
      </c>
      <c r="G100" t="s">
        <v>15</v>
      </c>
    </row>
    <row r="101" spans="1:7">
      <c r="A101" t="s">
        <v>212</v>
      </c>
      <c r="B101" s="1">
        <v>45871</v>
      </c>
      <c r="C101" t="s">
        <v>27</v>
      </c>
      <c r="D101" t="s">
        <v>13</v>
      </c>
      <c r="E101" t="s">
        <v>2</v>
      </c>
      <c r="F101" t="s">
        <v>16</v>
      </c>
      <c r="G101" t="s">
        <v>15</v>
      </c>
    </row>
    <row r="102" spans="1:7">
      <c r="A102" t="s">
        <v>211</v>
      </c>
      <c r="B102" s="1">
        <v>45731</v>
      </c>
      <c r="C102" t="s">
        <v>31</v>
      </c>
      <c r="D102" t="s">
        <v>3</v>
      </c>
      <c r="E102" t="s">
        <v>2</v>
      </c>
      <c r="F102" t="s">
        <v>1</v>
      </c>
      <c r="G102" t="s">
        <v>55</v>
      </c>
    </row>
    <row r="103" spans="1:7">
      <c r="A103" t="s">
        <v>210</v>
      </c>
      <c r="B103" s="1">
        <v>46154</v>
      </c>
      <c r="C103" t="s">
        <v>4</v>
      </c>
      <c r="D103" t="s">
        <v>21</v>
      </c>
      <c r="E103" t="s">
        <v>2</v>
      </c>
      <c r="F103" t="s">
        <v>47</v>
      </c>
      <c r="G103" t="s">
        <v>10</v>
      </c>
    </row>
    <row r="104" spans="1:7">
      <c r="A104" t="s">
        <v>209</v>
      </c>
      <c r="B104" s="1">
        <v>46160</v>
      </c>
      <c r="C104" t="s">
        <v>36</v>
      </c>
      <c r="D104" t="s">
        <v>3</v>
      </c>
      <c r="E104" t="s">
        <v>2</v>
      </c>
      <c r="F104" t="s">
        <v>16</v>
      </c>
      <c r="G104" t="s">
        <v>6</v>
      </c>
    </row>
    <row r="105" spans="1:7">
      <c r="A105" t="s">
        <v>208</v>
      </c>
      <c r="B105" s="1">
        <v>45869</v>
      </c>
      <c r="C105" t="s">
        <v>36</v>
      </c>
      <c r="D105" t="s">
        <v>33</v>
      </c>
      <c r="E105" t="s">
        <v>2</v>
      </c>
      <c r="F105" t="s">
        <v>16</v>
      </c>
      <c r="G105" t="s">
        <v>6</v>
      </c>
    </row>
    <row r="106" spans="1:7">
      <c r="A106" t="s">
        <v>207</v>
      </c>
      <c r="B106" s="1">
        <v>46206</v>
      </c>
      <c r="C106" t="s">
        <v>31</v>
      </c>
      <c r="D106" t="s">
        <v>3</v>
      </c>
      <c r="E106" t="s">
        <v>2</v>
      </c>
      <c r="F106" t="s">
        <v>47</v>
      </c>
      <c r="G106" t="s">
        <v>15</v>
      </c>
    </row>
    <row r="107" spans="1:7">
      <c r="A107" t="s">
        <v>206</v>
      </c>
      <c r="B107" s="1">
        <v>45893</v>
      </c>
      <c r="C107" t="s">
        <v>8</v>
      </c>
      <c r="D107" t="s">
        <v>13</v>
      </c>
      <c r="E107" t="s">
        <v>2</v>
      </c>
      <c r="F107" t="s">
        <v>47</v>
      </c>
    </row>
    <row r="108" spans="1:7">
      <c r="A108" t="s">
        <v>205</v>
      </c>
      <c r="B108" s="1">
        <v>45764</v>
      </c>
      <c r="C108" t="s">
        <v>8</v>
      </c>
      <c r="D108" t="s">
        <v>26</v>
      </c>
      <c r="E108" t="s">
        <v>2</v>
      </c>
      <c r="F108" t="s">
        <v>1</v>
      </c>
      <c r="G108" t="s">
        <v>6</v>
      </c>
    </row>
    <row r="109" spans="1:7">
      <c r="A109" t="s">
        <v>177</v>
      </c>
      <c r="B109" s="1">
        <v>45901</v>
      </c>
      <c r="C109" t="s">
        <v>27</v>
      </c>
      <c r="D109" t="s">
        <v>33</v>
      </c>
      <c r="E109" t="s">
        <v>12</v>
      </c>
      <c r="F109" t="s">
        <v>47</v>
      </c>
      <c r="G109" t="s">
        <v>15</v>
      </c>
    </row>
    <row r="110" spans="1:7">
      <c r="A110" t="s">
        <v>204</v>
      </c>
      <c r="B110" s="1">
        <v>46144</v>
      </c>
      <c r="C110" t="s">
        <v>8</v>
      </c>
      <c r="D110" t="s">
        <v>21</v>
      </c>
      <c r="E110" t="s">
        <v>12</v>
      </c>
      <c r="F110" t="s">
        <v>1</v>
      </c>
      <c r="G110" t="s">
        <v>6</v>
      </c>
    </row>
    <row r="111" spans="1:7">
      <c r="B111" s="1">
        <v>46045</v>
      </c>
      <c r="C111" t="s">
        <v>36</v>
      </c>
      <c r="D111" t="s">
        <v>33</v>
      </c>
      <c r="E111" t="s">
        <v>2</v>
      </c>
      <c r="F111" t="s">
        <v>11</v>
      </c>
      <c r="G111" t="s">
        <v>6</v>
      </c>
    </row>
    <row r="112" spans="1:7">
      <c r="A112" t="s">
        <v>203</v>
      </c>
      <c r="B112" s="1">
        <v>45775</v>
      </c>
      <c r="C112" t="s">
        <v>22</v>
      </c>
      <c r="D112" t="s">
        <v>3</v>
      </c>
      <c r="E112" t="s">
        <v>2</v>
      </c>
      <c r="F112" t="s">
        <v>1</v>
      </c>
      <c r="G112" t="s">
        <v>15</v>
      </c>
    </row>
    <row r="113" spans="1:7">
      <c r="A113" t="s">
        <v>202</v>
      </c>
      <c r="B113" s="1">
        <v>45912</v>
      </c>
      <c r="C113" t="s">
        <v>8</v>
      </c>
      <c r="D113" t="s">
        <v>7</v>
      </c>
      <c r="E113" t="s">
        <v>2</v>
      </c>
      <c r="F113" t="s">
        <v>1</v>
      </c>
    </row>
    <row r="114" spans="1:7">
      <c r="A114" t="s">
        <v>201</v>
      </c>
      <c r="B114" s="1">
        <v>45974</v>
      </c>
      <c r="C114" t="s">
        <v>8</v>
      </c>
      <c r="D114" t="s">
        <v>26</v>
      </c>
      <c r="E114" t="s">
        <v>2</v>
      </c>
      <c r="F114" t="s">
        <v>1</v>
      </c>
      <c r="G114" t="s">
        <v>6</v>
      </c>
    </row>
    <row r="115" spans="1:7">
      <c r="A115" t="s">
        <v>200</v>
      </c>
      <c r="B115" s="1">
        <v>46059</v>
      </c>
      <c r="C115" t="s">
        <v>31</v>
      </c>
      <c r="D115" t="s">
        <v>7</v>
      </c>
      <c r="E115" t="s">
        <v>2</v>
      </c>
      <c r="F115" t="s">
        <v>0</v>
      </c>
      <c r="G115" t="s">
        <v>15</v>
      </c>
    </row>
    <row r="116" spans="1:7">
      <c r="A116" t="s">
        <v>199</v>
      </c>
      <c r="B116" s="1">
        <v>45678</v>
      </c>
      <c r="C116" t="s">
        <v>27</v>
      </c>
      <c r="D116" t="s">
        <v>26</v>
      </c>
      <c r="E116" t="s">
        <v>30</v>
      </c>
      <c r="F116" t="s">
        <v>1</v>
      </c>
      <c r="G116" t="s">
        <v>15</v>
      </c>
    </row>
    <row r="117" spans="1:7">
      <c r="A117" t="s">
        <v>198</v>
      </c>
      <c r="B117" s="1">
        <v>46030</v>
      </c>
      <c r="D117" t="s">
        <v>33</v>
      </c>
      <c r="E117" t="s">
        <v>30</v>
      </c>
      <c r="F117" t="s">
        <v>16</v>
      </c>
      <c r="G117" t="s">
        <v>6</v>
      </c>
    </row>
    <row r="118" spans="1:7">
      <c r="B118" s="1">
        <v>46039</v>
      </c>
      <c r="C118" t="s">
        <v>8</v>
      </c>
      <c r="D118" t="s">
        <v>33</v>
      </c>
      <c r="E118" t="s">
        <v>2</v>
      </c>
      <c r="F118" t="s">
        <v>1</v>
      </c>
      <c r="G118" t="s">
        <v>6</v>
      </c>
    </row>
    <row r="119" spans="1:7">
      <c r="A119" t="s">
        <v>197</v>
      </c>
      <c r="B119" s="1">
        <v>45669</v>
      </c>
      <c r="C119" t="s">
        <v>4</v>
      </c>
      <c r="D119" t="s">
        <v>26</v>
      </c>
      <c r="E119" t="s">
        <v>12</v>
      </c>
      <c r="F119" t="s">
        <v>11</v>
      </c>
      <c r="G119" t="s">
        <v>10</v>
      </c>
    </row>
    <row r="120" spans="1:7">
      <c r="A120" t="s">
        <v>196</v>
      </c>
      <c r="B120" s="1">
        <v>45784</v>
      </c>
      <c r="C120" t="s">
        <v>31</v>
      </c>
      <c r="D120" t="s">
        <v>3</v>
      </c>
      <c r="E120" t="s">
        <v>2</v>
      </c>
      <c r="F120" t="s">
        <v>1</v>
      </c>
      <c r="G120" t="s">
        <v>15</v>
      </c>
    </row>
    <row r="121" spans="1:7">
      <c r="A121" t="s">
        <v>195</v>
      </c>
      <c r="B121" s="1">
        <v>45864</v>
      </c>
      <c r="D121" t="s">
        <v>33</v>
      </c>
      <c r="E121" t="s">
        <v>2</v>
      </c>
      <c r="F121" t="s">
        <v>47</v>
      </c>
      <c r="G121" t="s">
        <v>10</v>
      </c>
    </row>
    <row r="122" spans="1:7">
      <c r="A122" t="s">
        <v>194</v>
      </c>
      <c r="B122" s="1">
        <v>45713</v>
      </c>
      <c r="C122" t="s">
        <v>31</v>
      </c>
      <c r="D122" t="s">
        <v>3</v>
      </c>
      <c r="E122" t="s">
        <v>30</v>
      </c>
      <c r="F122" t="s">
        <v>16</v>
      </c>
      <c r="G122" t="s">
        <v>15</v>
      </c>
    </row>
    <row r="123" spans="1:7">
      <c r="A123" t="s">
        <v>193</v>
      </c>
      <c r="B123" s="1">
        <v>45797</v>
      </c>
      <c r="C123" t="s">
        <v>22</v>
      </c>
      <c r="D123" t="s">
        <v>13</v>
      </c>
      <c r="E123" t="s">
        <v>2</v>
      </c>
      <c r="F123" t="s">
        <v>16</v>
      </c>
      <c r="G123" t="s">
        <v>15</v>
      </c>
    </row>
    <row r="124" spans="1:7">
      <c r="A124" t="s">
        <v>192</v>
      </c>
      <c r="B124" s="1"/>
      <c r="C124" t="s">
        <v>27</v>
      </c>
      <c r="D124" t="s">
        <v>13</v>
      </c>
      <c r="E124" t="s">
        <v>2</v>
      </c>
      <c r="F124" t="s">
        <v>16</v>
      </c>
      <c r="G124" t="s">
        <v>15</v>
      </c>
    </row>
    <row r="125" spans="1:7">
      <c r="A125" t="s">
        <v>191</v>
      </c>
      <c r="B125" s="1">
        <v>45690</v>
      </c>
      <c r="C125" t="s">
        <v>36</v>
      </c>
      <c r="D125" t="s">
        <v>7</v>
      </c>
      <c r="E125" t="s">
        <v>12</v>
      </c>
      <c r="F125" t="s">
        <v>16</v>
      </c>
      <c r="G125" t="s">
        <v>6</v>
      </c>
    </row>
    <row r="126" spans="1:7">
      <c r="A126" t="s">
        <v>190</v>
      </c>
      <c r="B126" s="1">
        <v>45900</v>
      </c>
      <c r="C126" t="s">
        <v>36</v>
      </c>
      <c r="D126" t="s">
        <v>33</v>
      </c>
      <c r="E126" t="s">
        <v>2</v>
      </c>
      <c r="F126" t="s">
        <v>1</v>
      </c>
      <c r="G126" t="s">
        <v>6</v>
      </c>
    </row>
    <row r="127" spans="1:7">
      <c r="B127" s="1">
        <v>46159</v>
      </c>
      <c r="C127" t="s">
        <v>189</v>
      </c>
      <c r="D127" t="s">
        <v>7</v>
      </c>
      <c r="E127" t="s">
        <v>2</v>
      </c>
      <c r="F127" t="s">
        <v>11</v>
      </c>
      <c r="G127" t="s">
        <v>15</v>
      </c>
    </row>
    <row r="128" spans="1:7">
      <c r="A128" t="s">
        <v>188</v>
      </c>
      <c r="B128" s="1">
        <v>46128</v>
      </c>
      <c r="C128" t="s">
        <v>36</v>
      </c>
      <c r="D128" t="s">
        <v>7</v>
      </c>
      <c r="E128" t="s">
        <v>30</v>
      </c>
      <c r="F128" t="s">
        <v>47</v>
      </c>
      <c r="G128" t="s">
        <v>6</v>
      </c>
    </row>
    <row r="129" spans="1:7">
      <c r="A129" t="s">
        <v>187</v>
      </c>
      <c r="B129" s="1">
        <v>45845</v>
      </c>
      <c r="C129" t="s">
        <v>22</v>
      </c>
      <c r="D129" t="s">
        <v>21</v>
      </c>
      <c r="E129" t="s">
        <v>2</v>
      </c>
      <c r="F129" t="s">
        <v>1</v>
      </c>
      <c r="G129" t="s">
        <v>15</v>
      </c>
    </row>
    <row r="130" spans="1:7">
      <c r="A130" t="s">
        <v>186</v>
      </c>
      <c r="B130" s="1">
        <v>45880</v>
      </c>
      <c r="C130" t="s">
        <v>36</v>
      </c>
      <c r="D130" t="s">
        <v>21</v>
      </c>
      <c r="E130" t="s">
        <v>12</v>
      </c>
      <c r="F130" t="s">
        <v>16</v>
      </c>
      <c r="G130" t="s">
        <v>6</v>
      </c>
    </row>
    <row r="131" spans="1:7">
      <c r="A131" t="s">
        <v>185</v>
      </c>
      <c r="B131" s="1">
        <v>45915</v>
      </c>
      <c r="C131" t="s">
        <v>27</v>
      </c>
      <c r="D131" t="s">
        <v>21</v>
      </c>
      <c r="E131" t="s">
        <v>2</v>
      </c>
      <c r="F131" t="s">
        <v>16</v>
      </c>
      <c r="G131" t="s">
        <v>15</v>
      </c>
    </row>
    <row r="132" spans="1:7">
      <c r="A132" t="s">
        <v>184</v>
      </c>
      <c r="B132" s="1">
        <v>45743</v>
      </c>
      <c r="D132" t="s">
        <v>26</v>
      </c>
      <c r="E132" t="s">
        <v>2</v>
      </c>
      <c r="F132" t="s">
        <v>1</v>
      </c>
      <c r="G132" t="s">
        <v>6</v>
      </c>
    </row>
    <row r="133" spans="1:7">
      <c r="B133" s="1">
        <v>45850</v>
      </c>
      <c r="C133" t="s">
        <v>4</v>
      </c>
      <c r="D133" t="s">
        <v>33</v>
      </c>
      <c r="E133" t="s">
        <v>12</v>
      </c>
      <c r="F133" t="s">
        <v>1</v>
      </c>
      <c r="G133" t="s">
        <v>10</v>
      </c>
    </row>
    <row r="134" spans="1:7">
      <c r="A134" t="s">
        <v>90</v>
      </c>
      <c r="B134" s="1">
        <v>45824</v>
      </c>
      <c r="C134" t="s">
        <v>27</v>
      </c>
      <c r="D134" t="s">
        <v>7</v>
      </c>
      <c r="E134" t="s">
        <v>12</v>
      </c>
      <c r="F134" t="s">
        <v>16</v>
      </c>
      <c r="G134" t="s">
        <v>15</v>
      </c>
    </row>
    <row r="135" spans="1:7">
      <c r="A135" t="s">
        <v>183</v>
      </c>
      <c r="B135" s="1">
        <v>45748</v>
      </c>
      <c r="C135" t="s">
        <v>22</v>
      </c>
      <c r="E135" t="s">
        <v>12</v>
      </c>
      <c r="F135" t="s">
        <v>1</v>
      </c>
      <c r="G135" t="s">
        <v>15</v>
      </c>
    </row>
    <row r="136" spans="1:7">
      <c r="A136" t="s">
        <v>182</v>
      </c>
      <c r="B136" s="1">
        <v>46055</v>
      </c>
      <c r="C136" t="s">
        <v>31</v>
      </c>
      <c r="D136" t="s">
        <v>26</v>
      </c>
      <c r="E136" t="s">
        <v>12</v>
      </c>
      <c r="F136" t="s">
        <v>1</v>
      </c>
    </row>
    <row r="137" spans="1:7">
      <c r="A137" t="s">
        <v>181</v>
      </c>
      <c r="B137" s="1"/>
      <c r="C137" t="s">
        <v>22</v>
      </c>
      <c r="D137" t="s">
        <v>7</v>
      </c>
      <c r="E137" t="s">
        <v>12</v>
      </c>
      <c r="F137" t="s">
        <v>1</v>
      </c>
      <c r="G137" t="s">
        <v>15</v>
      </c>
    </row>
    <row r="138" spans="1:7">
      <c r="A138" t="s">
        <v>180</v>
      </c>
      <c r="B138" s="1">
        <v>46171</v>
      </c>
      <c r="C138" t="s">
        <v>27</v>
      </c>
      <c r="D138" t="s">
        <v>33</v>
      </c>
      <c r="E138" t="s">
        <v>2</v>
      </c>
      <c r="F138" t="s">
        <v>1</v>
      </c>
    </row>
    <row r="139" spans="1:7">
      <c r="A139" t="s">
        <v>179</v>
      </c>
      <c r="B139" s="1">
        <v>46025</v>
      </c>
      <c r="C139" t="s">
        <v>8</v>
      </c>
      <c r="D139" t="s">
        <v>33</v>
      </c>
      <c r="E139" t="s">
        <v>2</v>
      </c>
      <c r="F139" t="s">
        <v>1</v>
      </c>
      <c r="G139" t="s">
        <v>6</v>
      </c>
    </row>
    <row r="140" spans="1:7">
      <c r="A140" t="s">
        <v>178</v>
      </c>
      <c r="B140" s="1">
        <v>45713</v>
      </c>
      <c r="C140" t="s">
        <v>36</v>
      </c>
      <c r="D140" t="s">
        <v>26</v>
      </c>
      <c r="E140" t="s">
        <v>2</v>
      </c>
      <c r="F140" t="s">
        <v>47</v>
      </c>
      <c r="G140" t="s">
        <v>6</v>
      </c>
    </row>
    <row r="141" spans="1:7">
      <c r="A141" t="s">
        <v>177</v>
      </c>
      <c r="B141" s="1">
        <v>45901</v>
      </c>
      <c r="C141" t="s">
        <v>27</v>
      </c>
      <c r="D141" t="s">
        <v>33</v>
      </c>
      <c r="E141" t="s">
        <v>12</v>
      </c>
      <c r="F141" t="s">
        <v>47</v>
      </c>
      <c r="G141" t="s">
        <v>15</v>
      </c>
    </row>
    <row r="142" spans="1:7">
      <c r="A142" t="s">
        <v>176</v>
      </c>
      <c r="B142" s="1">
        <v>46008</v>
      </c>
      <c r="C142" t="s">
        <v>36</v>
      </c>
      <c r="D142" t="s">
        <v>3</v>
      </c>
      <c r="E142" t="s">
        <v>12</v>
      </c>
      <c r="F142" t="s">
        <v>11</v>
      </c>
      <c r="G142" t="s">
        <v>6</v>
      </c>
    </row>
    <row r="143" spans="1:7">
      <c r="A143" t="s">
        <v>175</v>
      </c>
      <c r="B143" s="1">
        <v>45882</v>
      </c>
      <c r="C143" t="s">
        <v>0</v>
      </c>
      <c r="D143" t="s">
        <v>33</v>
      </c>
      <c r="E143" t="s">
        <v>30</v>
      </c>
      <c r="F143" t="s">
        <v>1</v>
      </c>
      <c r="G143" t="s">
        <v>6</v>
      </c>
    </row>
    <row r="144" spans="1:7">
      <c r="A144" t="s">
        <v>174</v>
      </c>
      <c r="B144" s="1">
        <v>45701</v>
      </c>
      <c r="C144" t="s">
        <v>22</v>
      </c>
      <c r="D144" t="s">
        <v>7</v>
      </c>
      <c r="E144" t="s">
        <v>2</v>
      </c>
      <c r="F144" t="s">
        <v>1</v>
      </c>
      <c r="G144" t="s">
        <v>15</v>
      </c>
    </row>
    <row r="145" spans="1:7">
      <c r="A145" t="s">
        <v>173</v>
      </c>
      <c r="B145" s="1">
        <v>45850</v>
      </c>
      <c r="C145" t="s">
        <v>36</v>
      </c>
      <c r="D145" t="s">
        <v>13</v>
      </c>
      <c r="E145" t="s">
        <v>12</v>
      </c>
      <c r="F145" t="s">
        <v>16</v>
      </c>
      <c r="G145" t="s">
        <v>6</v>
      </c>
    </row>
    <row r="146" spans="1:7">
      <c r="A146" t="s">
        <v>145</v>
      </c>
      <c r="B146" s="1">
        <v>46133</v>
      </c>
      <c r="C146" t="s">
        <v>27</v>
      </c>
      <c r="D146" t="s">
        <v>21</v>
      </c>
      <c r="E146" t="s">
        <v>2</v>
      </c>
      <c r="F146" t="s">
        <v>16</v>
      </c>
      <c r="G146" t="s">
        <v>15</v>
      </c>
    </row>
    <row r="147" spans="1:7">
      <c r="A147" t="s">
        <v>172</v>
      </c>
      <c r="B147" s="1">
        <v>46019</v>
      </c>
      <c r="C147" t="s">
        <v>31</v>
      </c>
      <c r="D147" t="s">
        <v>26</v>
      </c>
      <c r="E147" t="s">
        <v>30</v>
      </c>
      <c r="F147" t="s">
        <v>11</v>
      </c>
      <c r="G147" t="s">
        <v>15</v>
      </c>
    </row>
    <row r="148" spans="1:7">
      <c r="A148" t="s">
        <v>171</v>
      </c>
      <c r="B148" s="1"/>
      <c r="C148" t="s">
        <v>36</v>
      </c>
      <c r="D148" t="s">
        <v>0</v>
      </c>
      <c r="E148" t="s">
        <v>2</v>
      </c>
      <c r="F148" t="s">
        <v>1</v>
      </c>
      <c r="G148" t="s">
        <v>6</v>
      </c>
    </row>
    <row r="149" spans="1:7">
      <c r="A149" t="s">
        <v>170</v>
      </c>
      <c r="B149" s="1">
        <v>46231</v>
      </c>
      <c r="C149" t="s">
        <v>8</v>
      </c>
      <c r="D149" t="s">
        <v>13</v>
      </c>
      <c r="E149" t="s">
        <v>30</v>
      </c>
      <c r="F149" t="s">
        <v>16</v>
      </c>
      <c r="G149" t="s">
        <v>6</v>
      </c>
    </row>
    <row r="150" spans="1:7">
      <c r="A150" t="s">
        <v>169</v>
      </c>
      <c r="B150" s="1">
        <v>46209</v>
      </c>
      <c r="C150" t="s">
        <v>27</v>
      </c>
      <c r="D150" t="s">
        <v>13</v>
      </c>
      <c r="E150" t="s">
        <v>2</v>
      </c>
      <c r="F150" t="s">
        <v>1</v>
      </c>
    </row>
    <row r="151" spans="1:7">
      <c r="A151" t="s">
        <v>168</v>
      </c>
      <c r="B151" s="1">
        <v>45682</v>
      </c>
      <c r="C151" t="s">
        <v>27</v>
      </c>
      <c r="D151" t="s">
        <v>33</v>
      </c>
      <c r="E151" t="s">
        <v>12</v>
      </c>
      <c r="F151" t="s">
        <v>11</v>
      </c>
      <c r="G151" t="s">
        <v>15</v>
      </c>
    </row>
    <row r="152" spans="1:7">
      <c r="A152" t="s">
        <v>167</v>
      </c>
      <c r="B152" s="1">
        <v>45694</v>
      </c>
      <c r="C152" t="s">
        <v>31</v>
      </c>
      <c r="D152" t="s">
        <v>26</v>
      </c>
      <c r="E152" t="s">
        <v>12</v>
      </c>
      <c r="F152" t="s">
        <v>47</v>
      </c>
      <c r="G152" t="s">
        <v>15</v>
      </c>
    </row>
    <row r="153" spans="1:7">
      <c r="A153" t="s">
        <v>166</v>
      </c>
      <c r="B153" s="1">
        <v>45901</v>
      </c>
      <c r="C153" t="s">
        <v>8</v>
      </c>
      <c r="E153" t="s">
        <v>2</v>
      </c>
      <c r="F153" t="s">
        <v>1</v>
      </c>
      <c r="G153" t="s">
        <v>6</v>
      </c>
    </row>
    <row r="154" spans="1:7">
      <c r="A154" t="s">
        <v>165</v>
      </c>
      <c r="B154" s="1">
        <v>45877</v>
      </c>
      <c r="C154" t="s">
        <v>31</v>
      </c>
      <c r="D154" t="s">
        <v>13</v>
      </c>
      <c r="E154" t="s">
        <v>12</v>
      </c>
      <c r="F154" t="s">
        <v>1</v>
      </c>
      <c r="G154" t="s">
        <v>15</v>
      </c>
    </row>
    <row r="155" spans="1:7">
      <c r="A155" t="s">
        <v>164</v>
      </c>
      <c r="B155" s="1">
        <v>46150</v>
      </c>
      <c r="C155" t="s">
        <v>27</v>
      </c>
      <c r="D155" t="s">
        <v>3</v>
      </c>
      <c r="E155" t="s">
        <v>2</v>
      </c>
      <c r="F155" t="s">
        <v>163</v>
      </c>
      <c r="G155" t="s">
        <v>15</v>
      </c>
    </row>
    <row r="156" spans="1:7">
      <c r="A156" t="s">
        <v>162</v>
      </c>
      <c r="B156" s="1"/>
      <c r="C156" t="s">
        <v>27</v>
      </c>
      <c r="D156" t="s">
        <v>3</v>
      </c>
      <c r="E156" t="s">
        <v>2</v>
      </c>
      <c r="F156" t="s">
        <v>1</v>
      </c>
      <c r="G156" t="s">
        <v>15</v>
      </c>
    </row>
    <row r="157" spans="1:7">
      <c r="A157" t="s">
        <v>161</v>
      </c>
      <c r="B157" s="1">
        <v>45991</v>
      </c>
      <c r="C157" t="s">
        <v>27</v>
      </c>
      <c r="D157" t="s">
        <v>26</v>
      </c>
      <c r="E157" t="s">
        <v>12</v>
      </c>
      <c r="F157" t="s">
        <v>47</v>
      </c>
      <c r="G157" t="s">
        <v>15</v>
      </c>
    </row>
    <row r="158" spans="1:7">
      <c r="A158" t="s">
        <v>160</v>
      </c>
      <c r="B158" s="1">
        <v>45727</v>
      </c>
      <c r="C158" t="s">
        <v>36</v>
      </c>
      <c r="E158" t="s">
        <v>2</v>
      </c>
      <c r="F158" t="s">
        <v>11</v>
      </c>
      <c r="G158" t="s">
        <v>6</v>
      </c>
    </row>
    <row r="159" spans="1:7">
      <c r="A159" t="s">
        <v>159</v>
      </c>
      <c r="B159" s="1">
        <v>46058</v>
      </c>
      <c r="C159" t="s">
        <v>27</v>
      </c>
      <c r="D159" t="s">
        <v>7</v>
      </c>
      <c r="E159" t="s">
        <v>12</v>
      </c>
      <c r="G159" t="s">
        <v>15</v>
      </c>
    </row>
    <row r="160" spans="1:7">
      <c r="A160" t="s">
        <v>158</v>
      </c>
      <c r="B160" s="1">
        <v>46223</v>
      </c>
      <c r="C160" t="s">
        <v>27</v>
      </c>
      <c r="D160" t="s">
        <v>26</v>
      </c>
      <c r="E160" t="s">
        <v>12</v>
      </c>
      <c r="F160" t="s">
        <v>1</v>
      </c>
      <c r="G160" t="s">
        <v>15</v>
      </c>
    </row>
    <row r="161" spans="1:7">
      <c r="A161" t="s">
        <v>157</v>
      </c>
      <c r="B161" s="1">
        <v>46037</v>
      </c>
      <c r="C161" t="s">
        <v>27</v>
      </c>
      <c r="D161" t="s">
        <v>3</v>
      </c>
      <c r="E161" t="s">
        <v>12</v>
      </c>
      <c r="F161" t="s">
        <v>1</v>
      </c>
      <c r="G161" t="s">
        <v>15</v>
      </c>
    </row>
    <row r="162" spans="1:7">
      <c r="A162" t="s">
        <v>156</v>
      </c>
      <c r="B162" s="1">
        <v>46066</v>
      </c>
      <c r="C162" t="s">
        <v>22</v>
      </c>
      <c r="D162" t="s">
        <v>21</v>
      </c>
      <c r="E162" t="s">
        <v>2</v>
      </c>
      <c r="F162" t="s">
        <v>1</v>
      </c>
      <c r="G162" t="s">
        <v>15</v>
      </c>
    </row>
    <row r="163" spans="1:7">
      <c r="A163" t="s">
        <v>155</v>
      </c>
      <c r="B163" s="1">
        <v>45935</v>
      </c>
      <c r="C163" t="s">
        <v>31</v>
      </c>
      <c r="D163" t="s">
        <v>26</v>
      </c>
      <c r="F163" t="s">
        <v>11</v>
      </c>
      <c r="G163" t="s">
        <v>15</v>
      </c>
    </row>
    <row r="164" spans="1:7">
      <c r="A164" t="s">
        <v>154</v>
      </c>
      <c r="B164" s="1">
        <v>46051</v>
      </c>
      <c r="C164" t="s">
        <v>36</v>
      </c>
      <c r="D164" t="s">
        <v>33</v>
      </c>
      <c r="E164" t="s">
        <v>2</v>
      </c>
      <c r="F164" t="s">
        <v>1</v>
      </c>
      <c r="G164" t="s">
        <v>6</v>
      </c>
    </row>
    <row r="165" spans="1:7">
      <c r="A165" t="s">
        <v>153</v>
      </c>
      <c r="B165" s="1">
        <v>45924</v>
      </c>
      <c r="C165" t="s">
        <v>8</v>
      </c>
      <c r="D165" t="s">
        <v>21</v>
      </c>
      <c r="F165" t="s">
        <v>11</v>
      </c>
      <c r="G165" t="s">
        <v>6</v>
      </c>
    </row>
    <row r="166" spans="1:7">
      <c r="A166" t="s">
        <v>152</v>
      </c>
      <c r="B166" s="1">
        <v>45923</v>
      </c>
      <c r="C166" t="s">
        <v>31</v>
      </c>
      <c r="D166" t="s">
        <v>3</v>
      </c>
      <c r="E166" t="s">
        <v>2</v>
      </c>
      <c r="F166" t="s">
        <v>1</v>
      </c>
      <c r="G166" t="s">
        <v>15</v>
      </c>
    </row>
    <row r="167" spans="1:7">
      <c r="A167" t="s">
        <v>32</v>
      </c>
      <c r="B167" s="1">
        <v>45806</v>
      </c>
      <c r="C167" t="s">
        <v>31</v>
      </c>
      <c r="D167" t="s">
        <v>7</v>
      </c>
      <c r="E167" t="s">
        <v>30</v>
      </c>
      <c r="F167" t="s">
        <v>11</v>
      </c>
      <c r="G167" t="s">
        <v>15</v>
      </c>
    </row>
    <row r="168" spans="1:7">
      <c r="A168" t="s">
        <v>151</v>
      </c>
      <c r="B168" s="1">
        <v>46034</v>
      </c>
      <c r="D168" t="s">
        <v>3</v>
      </c>
      <c r="E168" t="s">
        <v>30</v>
      </c>
      <c r="F168" t="s">
        <v>16</v>
      </c>
      <c r="G168" t="s">
        <v>15</v>
      </c>
    </row>
    <row r="169" spans="1:7">
      <c r="A169" t="s">
        <v>150</v>
      </c>
      <c r="B169" s="1">
        <v>45857</v>
      </c>
      <c r="C169" t="s">
        <v>27</v>
      </c>
      <c r="D169" t="s">
        <v>26</v>
      </c>
      <c r="E169" t="s">
        <v>2</v>
      </c>
      <c r="G169" t="s">
        <v>15</v>
      </c>
    </row>
    <row r="170" spans="1:7">
      <c r="A170" t="s">
        <v>149</v>
      </c>
      <c r="B170" s="1">
        <v>46019</v>
      </c>
      <c r="C170" t="s">
        <v>27</v>
      </c>
      <c r="D170" t="s">
        <v>26</v>
      </c>
      <c r="E170" t="s">
        <v>30</v>
      </c>
      <c r="F170" t="s">
        <v>1</v>
      </c>
      <c r="G170" t="s">
        <v>15</v>
      </c>
    </row>
    <row r="171" spans="1:7">
      <c r="A171" t="s">
        <v>148</v>
      </c>
      <c r="B171" s="1">
        <v>45872</v>
      </c>
      <c r="C171" t="s">
        <v>31</v>
      </c>
      <c r="D171" t="s">
        <v>33</v>
      </c>
      <c r="E171" t="s">
        <v>12</v>
      </c>
      <c r="F171" t="s">
        <v>147</v>
      </c>
      <c r="G171" t="s">
        <v>15</v>
      </c>
    </row>
    <row r="172" spans="1:7">
      <c r="A172" t="s">
        <v>146</v>
      </c>
      <c r="B172" s="1">
        <v>46127</v>
      </c>
      <c r="C172" t="s">
        <v>8</v>
      </c>
      <c r="D172" t="s">
        <v>3</v>
      </c>
      <c r="E172" t="s">
        <v>2</v>
      </c>
      <c r="F172" t="s">
        <v>1</v>
      </c>
      <c r="G172" t="s">
        <v>6</v>
      </c>
    </row>
    <row r="173" spans="1:7">
      <c r="A173" t="s">
        <v>145</v>
      </c>
      <c r="B173" s="1">
        <v>46133</v>
      </c>
      <c r="C173" t="s">
        <v>27</v>
      </c>
      <c r="D173" t="s">
        <v>21</v>
      </c>
      <c r="E173" t="s">
        <v>2</v>
      </c>
      <c r="F173" t="s">
        <v>16</v>
      </c>
      <c r="G173" t="s">
        <v>15</v>
      </c>
    </row>
    <row r="174" spans="1:7">
      <c r="A174" t="s">
        <v>144</v>
      </c>
      <c r="B174" s="1">
        <v>45944</v>
      </c>
      <c r="C174" t="s">
        <v>36</v>
      </c>
      <c r="D174" t="s">
        <v>7</v>
      </c>
      <c r="E174" t="s">
        <v>2</v>
      </c>
      <c r="F174" t="s">
        <v>1</v>
      </c>
    </row>
    <row r="175" spans="1:7">
      <c r="A175" t="s">
        <v>143</v>
      </c>
      <c r="B175" s="1">
        <v>45889</v>
      </c>
      <c r="C175" t="s">
        <v>27</v>
      </c>
      <c r="D175" t="s">
        <v>26</v>
      </c>
      <c r="E175" t="s">
        <v>12</v>
      </c>
      <c r="F175" t="s">
        <v>1</v>
      </c>
      <c r="G175" t="s">
        <v>15</v>
      </c>
    </row>
    <row r="176" spans="1:7">
      <c r="A176" t="s">
        <v>142</v>
      </c>
      <c r="B176" s="1">
        <v>45723</v>
      </c>
      <c r="C176" t="s">
        <v>31</v>
      </c>
      <c r="D176" t="s">
        <v>26</v>
      </c>
      <c r="E176" t="s">
        <v>2</v>
      </c>
      <c r="F176" t="s">
        <v>1</v>
      </c>
      <c r="G176" t="s">
        <v>15</v>
      </c>
    </row>
    <row r="177" spans="1:7">
      <c r="A177" t="s">
        <v>141</v>
      </c>
      <c r="B177" s="1"/>
      <c r="C177" t="s">
        <v>27</v>
      </c>
      <c r="D177" t="s">
        <v>7</v>
      </c>
      <c r="E177" t="s">
        <v>12</v>
      </c>
      <c r="F177" t="s">
        <v>11</v>
      </c>
      <c r="G177" t="s">
        <v>15</v>
      </c>
    </row>
    <row r="178" spans="1:7">
      <c r="A178" t="s">
        <v>140</v>
      </c>
      <c r="B178" s="1">
        <v>46167</v>
      </c>
      <c r="C178" t="s">
        <v>31</v>
      </c>
      <c r="D178" t="s">
        <v>7</v>
      </c>
      <c r="E178" t="s">
        <v>12</v>
      </c>
      <c r="F178" t="s">
        <v>16</v>
      </c>
      <c r="G178" t="s">
        <v>15</v>
      </c>
    </row>
    <row r="179" spans="1:7">
      <c r="A179" t="s">
        <v>139</v>
      </c>
      <c r="B179" s="1">
        <v>45664</v>
      </c>
      <c r="C179" t="s">
        <v>22</v>
      </c>
      <c r="D179" t="s">
        <v>3</v>
      </c>
      <c r="E179" t="s">
        <v>12</v>
      </c>
      <c r="F179" t="s">
        <v>16</v>
      </c>
      <c r="G179" t="s">
        <v>15</v>
      </c>
    </row>
    <row r="180" spans="1:7">
      <c r="A180" t="s">
        <v>138</v>
      </c>
      <c r="B180" s="1">
        <v>45924</v>
      </c>
      <c r="C180" t="s">
        <v>27</v>
      </c>
      <c r="D180" t="s">
        <v>3</v>
      </c>
      <c r="E180" t="s">
        <v>12</v>
      </c>
      <c r="G180" t="s">
        <v>15</v>
      </c>
    </row>
    <row r="181" spans="1:7">
      <c r="A181" t="s">
        <v>137</v>
      </c>
      <c r="B181" s="1">
        <v>46051</v>
      </c>
      <c r="D181" t="s">
        <v>7</v>
      </c>
      <c r="E181" t="s">
        <v>12</v>
      </c>
      <c r="F181" t="s">
        <v>11</v>
      </c>
      <c r="G181" t="s">
        <v>6</v>
      </c>
    </row>
    <row r="182" spans="1:7">
      <c r="A182" t="s">
        <v>136</v>
      </c>
      <c r="B182" s="1">
        <v>45877</v>
      </c>
      <c r="C182" t="s">
        <v>27</v>
      </c>
      <c r="D182" t="s">
        <v>3</v>
      </c>
      <c r="E182" t="s">
        <v>2</v>
      </c>
      <c r="F182" t="s">
        <v>1</v>
      </c>
      <c r="G182" t="s">
        <v>15</v>
      </c>
    </row>
    <row r="183" spans="1:7">
      <c r="A183" t="s">
        <v>135</v>
      </c>
      <c r="B183" s="1">
        <v>46203</v>
      </c>
      <c r="C183" t="s">
        <v>36</v>
      </c>
      <c r="D183" t="s">
        <v>26</v>
      </c>
      <c r="F183" t="s">
        <v>1</v>
      </c>
      <c r="G183" t="s">
        <v>6</v>
      </c>
    </row>
    <row r="184" spans="1:7">
      <c r="A184" t="s">
        <v>134</v>
      </c>
      <c r="B184" s="1">
        <v>46215</v>
      </c>
      <c r="C184" t="s">
        <v>8</v>
      </c>
      <c r="D184" t="s">
        <v>3</v>
      </c>
      <c r="E184" t="s">
        <v>2</v>
      </c>
      <c r="F184" t="s">
        <v>16</v>
      </c>
      <c r="G184" t="s">
        <v>6</v>
      </c>
    </row>
    <row r="185" spans="1:7">
      <c r="A185" t="s">
        <v>133</v>
      </c>
      <c r="B185" s="1">
        <v>46155</v>
      </c>
      <c r="C185" t="s">
        <v>4</v>
      </c>
      <c r="D185" t="s">
        <v>7</v>
      </c>
      <c r="E185" t="s">
        <v>12</v>
      </c>
      <c r="F185" t="s">
        <v>1</v>
      </c>
      <c r="G185" t="s">
        <v>10</v>
      </c>
    </row>
    <row r="186" spans="1:7">
      <c r="A186" t="s">
        <v>132</v>
      </c>
      <c r="B186" s="1">
        <v>46178</v>
      </c>
      <c r="C186" t="s">
        <v>8</v>
      </c>
      <c r="D186" t="s">
        <v>21</v>
      </c>
      <c r="E186" t="s">
        <v>2</v>
      </c>
      <c r="F186" t="s">
        <v>11</v>
      </c>
      <c r="G186" t="s">
        <v>6</v>
      </c>
    </row>
    <row r="187" spans="1:7">
      <c r="A187" t="s">
        <v>131</v>
      </c>
      <c r="B187" s="1">
        <v>45772</v>
      </c>
      <c r="C187" t="s">
        <v>27</v>
      </c>
      <c r="D187" t="s">
        <v>7</v>
      </c>
      <c r="E187" t="s">
        <v>2</v>
      </c>
      <c r="F187" t="s">
        <v>1</v>
      </c>
      <c r="G187" t="s">
        <v>15</v>
      </c>
    </row>
    <row r="188" spans="1:7">
      <c r="A188" t="s">
        <v>130</v>
      </c>
      <c r="B188" s="1">
        <v>45848</v>
      </c>
      <c r="C188" t="s">
        <v>8</v>
      </c>
      <c r="D188" t="s">
        <v>3</v>
      </c>
      <c r="E188" t="s">
        <v>12</v>
      </c>
      <c r="F188" t="s">
        <v>1</v>
      </c>
      <c r="G188" t="s">
        <v>6</v>
      </c>
    </row>
    <row r="189" spans="1:7">
      <c r="A189" t="s">
        <v>129</v>
      </c>
      <c r="B189" s="1">
        <v>46118</v>
      </c>
      <c r="C189" t="s">
        <v>31</v>
      </c>
      <c r="D189" t="s">
        <v>3</v>
      </c>
      <c r="E189" t="s">
        <v>2</v>
      </c>
      <c r="F189" t="s">
        <v>11</v>
      </c>
      <c r="G189" t="s">
        <v>15</v>
      </c>
    </row>
    <row r="190" spans="1:7">
      <c r="A190" t="s">
        <v>85</v>
      </c>
      <c r="B190" s="1">
        <v>46145</v>
      </c>
      <c r="C190" t="s">
        <v>31</v>
      </c>
      <c r="D190" t="s">
        <v>7</v>
      </c>
      <c r="E190" t="s">
        <v>2</v>
      </c>
      <c r="F190" t="s">
        <v>47</v>
      </c>
      <c r="G190" t="s">
        <v>15</v>
      </c>
    </row>
    <row r="191" spans="1:7">
      <c r="A191" t="s">
        <v>128</v>
      </c>
      <c r="B191" s="1">
        <v>45915</v>
      </c>
      <c r="C191" t="s">
        <v>22</v>
      </c>
      <c r="D191" t="s">
        <v>26</v>
      </c>
      <c r="E191" t="s">
        <v>2</v>
      </c>
      <c r="F191" t="s">
        <v>11</v>
      </c>
      <c r="G191" t="s">
        <v>15</v>
      </c>
    </row>
    <row r="192" spans="1:7">
      <c r="A192" t="s">
        <v>127</v>
      </c>
      <c r="B192" s="1"/>
      <c r="C192" t="s">
        <v>36</v>
      </c>
      <c r="D192" t="s">
        <v>21</v>
      </c>
      <c r="E192" t="s">
        <v>2</v>
      </c>
      <c r="F192" t="s">
        <v>1</v>
      </c>
      <c r="G192" t="s">
        <v>6</v>
      </c>
    </row>
    <row r="193" spans="1:7">
      <c r="A193" t="s">
        <v>126</v>
      </c>
      <c r="B193" s="1">
        <v>45926</v>
      </c>
      <c r="C193" t="s">
        <v>36</v>
      </c>
      <c r="D193" t="s">
        <v>3</v>
      </c>
      <c r="E193" t="s">
        <v>2</v>
      </c>
      <c r="F193" t="s">
        <v>16</v>
      </c>
      <c r="G193" t="s">
        <v>6</v>
      </c>
    </row>
    <row r="194" spans="1:7">
      <c r="A194" t="s">
        <v>125</v>
      </c>
      <c r="B194" s="1">
        <v>46120</v>
      </c>
      <c r="D194" t="s">
        <v>3</v>
      </c>
      <c r="E194" t="s">
        <v>30</v>
      </c>
      <c r="F194" t="s">
        <v>1</v>
      </c>
      <c r="G194" t="s">
        <v>10</v>
      </c>
    </row>
    <row r="195" spans="1:7">
      <c r="A195" t="s">
        <v>124</v>
      </c>
      <c r="B195" s="1"/>
      <c r="C195" t="s">
        <v>4</v>
      </c>
      <c r="D195" t="s">
        <v>13</v>
      </c>
      <c r="E195" t="s">
        <v>2</v>
      </c>
      <c r="F195" t="s">
        <v>16</v>
      </c>
      <c r="G195" t="s">
        <v>10</v>
      </c>
    </row>
    <row r="196" spans="1:7">
      <c r="A196" t="s">
        <v>123</v>
      </c>
      <c r="B196" s="1">
        <v>45767</v>
      </c>
      <c r="C196" t="s">
        <v>31</v>
      </c>
      <c r="D196" t="s">
        <v>26</v>
      </c>
      <c r="E196" t="s">
        <v>2</v>
      </c>
      <c r="F196" t="s">
        <v>16</v>
      </c>
      <c r="G196" t="s">
        <v>15</v>
      </c>
    </row>
    <row r="197" spans="1:7">
      <c r="B197" s="1">
        <v>46204</v>
      </c>
      <c r="C197" t="s">
        <v>27</v>
      </c>
      <c r="D197" t="s">
        <v>7</v>
      </c>
      <c r="E197" t="s">
        <v>2</v>
      </c>
      <c r="F197" t="s">
        <v>16</v>
      </c>
      <c r="G197" t="s">
        <v>15</v>
      </c>
    </row>
    <row r="198" spans="1:7">
      <c r="A198" t="s">
        <v>122</v>
      </c>
      <c r="B198" s="1">
        <v>45950</v>
      </c>
      <c r="C198" t="s">
        <v>8</v>
      </c>
      <c r="D198" t="s">
        <v>7</v>
      </c>
      <c r="E198" t="s">
        <v>2</v>
      </c>
      <c r="F198" t="s">
        <v>1</v>
      </c>
      <c r="G198" t="s">
        <v>6</v>
      </c>
    </row>
    <row r="199" spans="1:7">
      <c r="A199" t="s">
        <v>121</v>
      </c>
      <c r="B199" s="1">
        <v>46088</v>
      </c>
      <c r="C199" t="s">
        <v>31</v>
      </c>
      <c r="D199" t="s">
        <v>26</v>
      </c>
      <c r="E199" t="s">
        <v>120</v>
      </c>
      <c r="F199" t="s">
        <v>47</v>
      </c>
      <c r="G199" t="s">
        <v>15</v>
      </c>
    </row>
    <row r="200" spans="1:7">
      <c r="A200" t="s">
        <v>119</v>
      </c>
      <c r="B200" s="1">
        <v>46060</v>
      </c>
      <c r="C200" t="s">
        <v>36</v>
      </c>
      <c r="D200" t="s">
        <v>3</v>
      </c>
      <c r="E200" t="s">
        <v>2</v>
      </c>
      <c r="F200" t="s">
        <v>16</v>
      </c>
      <c r="G200" t="s">
        <v>6</v>
      </c>
    </row>
    <row r="201" spans="1:7">
      <c r="A201" t="s">
        <v>118</v>
      </c>
      <c r="B201" s="1">
        <v>46055</v>
      </c>
      <c r="C201" t="s">
        <v>36</v>
      </c>
      <c r="D201" t="s">
        <v>7</v>
      </c>
      <c r="E201" t="s">
        <v>12</v>
      </c>
      <c r="F201" t="s">
        <v>16</v>
      </c>
      <c r="G201" t="s">
        <v>6</v>
      </c>
    </row>
    <row r="202" spans="1:7">
      <c r="A202" t="s">
        <v>117</v>
      </c>
      <c r="B202" s="1">
        <v>45850</v>
      </c>
      <c r="C202" t="s">
        <v>27</v>
      </c>
      <c r="D202" t="s">
        <v>7</v>
      </c>
      <c r="E202" t="s">
        <v>30</v>
      </c>
      <c r="F202" t="s">
        <v>1</v>
      </c>
      <c r="G202" t="s">
        <v>15</v>
      </c>
    </row>
    <row r="203" spans="1:7">
      <c r="A203" t="s">
        <v>116</v>
      </c>
      <c r="B203" s="1">
        <v>45781</v>
      </c>
      <c r="C203" t="s">
        <v>31</v>
      </c>
      <c r="E203" t="s">
        <v>2</v>
      </c>
      <c r="F203" t="s">
        <v>1</v>
      </c>
      <c r="G203" t="s">
        <v>15</v>
      </c>
    </row>
    <row r="204" spans="1:7">
      <c r="A204" t="s">
        <v>115</v>
      </c>
      <c r="B204" s="1">
        <v>45761</v>
      </c>
      <c r="C204" t="s">
        <v>27</v>
      </c>
      <c r="D204" t="s">
        <v>7</v>
      </c>
      <c r="E204" t="s">
        <v>2</v>
      </c>
      <c r="F204" t="s">
        <v>16</v>
      </c>
      <c r="G204" t="s">
        <v>15</v>
      </c>
    </row>
    <row r="205" spans="1:7">
      <c r="A205" t="s">
        <v>114</v>
      </c>
      <c r="B205" s="1">
        <v>45754</v>
      </c>
      <c r="C205" t="s">
        <v>36</v>
      </c>
      <c r="D205" t="s">
        <v>13</v>
      </c>
      <c r="E205" t="s">
        <v>2</v>
      </c>
      <c r="F205" t="s">
        <v>1</v>
      </c>
      <c r="G205" t="s">
        <v>6</v>
      </c>
    </row>
    <row r="206" spans="1:7">
      <c r="A206" t="s">
        <v>113</v>
      </c>
      <c r="B206" s="1">
        <v>45884</v>
      </c>
      <c r="C206" t="s">
        <v>4</v>
      </c>
      <c r="D206" t="s">
        <v>7</v>
      </c>
      <c r="F206" t="s">
        <v>11</v>
      </c>
      <c r="G206" t="s">
        <v>10</v>
      </c>
    </row>
    <row r="207" spans="1:7">
      <c r="A207" t="s">
        <v>112</v>
      </c>
      <c r="B207" s="1">
        <v>45807</v>
      </c>
      <c r="C207" t="s">
        <v>27</v>
      </c>
      <c r="D207" t="s">
        <v>13</v>
      </c>
      <c r="E207" t="s">
        <v>2</v>
      </c>
      <c r="F207" t="s">
        <v>1</v>
      </c>
      <c r="G207" t="s">
        <v>15</v>
      </c>
    </row>
    <row r="208" spans="1:7">
      <c r="A208" t="s">
        <v>111</v>
      </c>
      <c r="B208" s="1">
        <v>45933</v>
      </c>
      <c r="C208" t="s">
        <v>8</v>
      </c>
      <c r="D208" t="s">
        <v>26</v>
      </c>
      <c r="F208" t="s">
        <v>11</v>
      </c>
      <c r="G208" t="s">
        <v>6</v>
      </c>
    </row>
    <row r="209" spans="1:7">
      <c r="A209" t="s">
        <v>110</v>
      </c>
      <c r="B209" s="1">
        <v>46124</v>
      </c>
      <c r="C209" t="s">
        <v>27</v>
      </c>
      <c r="D209" t="s">
        <v>3</v>
      </c>
      <c r="E209" t="s">
        <v>2</v>
      </c>
      <c r="F209" t="s">
        <v>1</v>
      </c>
      <c r="G209" t="s">
        <v>15</v>
      </c>
    </row>
    <row r="210" spans="1:7">
      <c r="A210" t="s">
        <v>109</v>
      </c>
      <c r="B210" s="1" t="s">
        <v>0</v>
      </c>
      <c r="C210" t="s">
        <v>36</v>
      </c>
      <c r="D210" t="s">
        <v>3</v>
      </c>
      <c r="E210" t="s">
        <v>30</v>
      </c>
      <c r="F210" t="s">
        <v>11</v>
      </c>
      <c r="G210" t="s">
        <v>6</v>
      </c>
    </row>
    <row r="211" spans="1:7">
      <c r="A211" t="s">
        <v>108</v>
      </c>
      <c r="B211" s="1">
        <v>45723</v>
      </c>
      <c r="C211" t="s">
        <v>31</v>
      </c>
      <c r="D211" t="s">
        <v>26</v>
      </c>
      <c r="E211" t="s">
        <v>12</v>
      </c>
      <c r="F211" t="s">
        <v>16</v>
      </c>
      <c r="G211" t="s">
        <v>15</v>
      </c>
    </row>
    <row r="212" spans="1:7">
      <c r="A212" t="s">
        <v>107</v>
      </c>
      <c r="B212" s="1">
        <v>46073</v>
      </c>
      <c r="C212" t="s">
        <v>31</v>
      </c>
      <c r="D212" t="s">
        <v>26</v>
      </c>
      <c r="E212" t="s">
        <v>12</v>
      </c>
      <c r="F212" t="s">
        <v>1</v>
      </c>
      <c r="G212" t="s">
        <v>15</v>
      </c>
    </row>
    <row r="213" spans="1:7">
      <c r="A213" t="s">
        <v>106</v>
      </c>
      <c r="B213" s="1">
        <v>46223</v>
      </c>
      <c r="C213" t="s">
        <v>4</v>
      </c>
      <c r="D213" t="s">
        <v>33</v>
      </c>
      <c r="E213" t="s">
        <v>2</v>
      </c>
      <c r="F213" t="s">
        <v>1</v>
      </c>
      <c r="G213" t="s">
        <v>10</v>
      </c>
    </row>
    <row r="214" spans="1:7">
      <c r="A214" t="s">
        <v>105</v>
      </c>
      <c r="B214" s="1">
        <v>46230</v>
      </c>
      <c r="C214" t="s">
        <v>31</v>
      </c>
      <c r="D214" t="s">
        <v>26</v>
      </c>
      <c r="E214" t="s">
        <v>2</v>
      </c>
      <c r="F214" t="s">
        <v>1</v>
      </c>
      <c r="G214" t="s">
        <v>15</v>
      </c>
    </row>
    <row r="215" spans="1:7">
      <c r="A215" t="s">
        <v>104</v>
      </c>
      <c r="B215" s="1">
        <v>46035</v>
      </c>
      <c r="C215" t="s">
        <v>31</v>
      </c>
      <c r="D215" t="s">
        <v>3</v>
      </c>
      <c r="E215" t="s">
        <v>12</v>
      </c>
      <c r="F215" t="s">
        <v>1</v>
      </c>
      <c r="G215" t="s">
        <v>15</v>
      </c>
    </row>
    <row r="216" spans="1:7">
      <c r="A216" t="s">
        <v>103</v>
      </c>
      <c r="B216" s="1">
        <v>46152</v>
      </c>
      <c r="C216" t="s">
        <v>8</v>
      </c>
      <c r="D216" t="s">
        <v>21</v>
      </c>
      <c r="E216" t="s">
        <v>2</v>
      </c>
      <c r="F216" t="s">
        <v>47</v>
      </c>
      <c r="G216" t="s">
        <v>6</v>
      </c>
    </row>
    <row r="217" spans="1:7">
      <c r="A217" t="s">
        <v>102</v>
      </c>
      <c r="B217" s="1">
        <v>46198</v>
      </c>
      <c r="C217" t="s">
        <v>27</v>
      </c>
      <c r="D217" t="s">
        <v>13</v>
      </c>
      <c r="E217" t="s">
        <v>30</v>
      </c>
      <c r="F217" t="s">
        <v>11</v>
      </c>
      <c r="G217" t="s">
        <v>15</v>
      </c>
    </row>
    <row r="218" spans="1:7">
      <c r="B218" s="1">
        <v>46063</v>
      </c>
      <c r="C218" t="s">
        <v>8</v>
      </c>
      <c r="D218" t="s">
        <v>33</v>
      </c>
      <c r="E218" t="s">
        <v>12</v>
      </c>
      <c r="F218" t="s">
        <v>11</v>
      </c>
      <c r="G218" t="s">
        <v>6</v>
      </c>
    </row>
    <row r="219" spans="1:7">
      <c r="A219" t="s">
        <v>101</v>
      </c>
      <c r="B219" s="1">
        <v>45833</v>
      </c>
      <c r="C219" t="s">
        <v>31</v>
      </c>
      <c r="D219" t="s">
        <v>3</v>
      </c>
      <c r="E219" t="s">
        <v>12</v>
      </c>
      <c r="F219" t="s">
        <v>16</v>
      </c>
      <c r="G219" t="s">
        <v>15</v>
      </c>
    </row>
    <row r="220" spans="1:7">
      <c r="A220" t="s">
        <v>100</v>
      </c>
      <c r="B220" s="1">
        <v>46074</v>
      </c>
      <c r="C220" t="s">
        <v>31</v>
      </c>
      <c r="D220" t="s">
        <v>7</v>
      </c>
      <c r="E220" t="s">
        <v>2</v>
      </c>
      <c r="F220" t="s">
        <v>1</v>
      </c>
      <c r="G220" t="s">
        <v>15</v>
      </c>
    </row>
    <row r="221" spans="1:7">
      <c r="A221" t="s">
        <v>99</v>
      </c>
      <c r="B221" s="1">
        <v>46108</v>
      </c>
      <c r="C221" t="s">
        <v>31</v>
      </c>
      <c r="D221" t="s">
        <v>13</v>
      </c>
      <c r="E221" t="s">
        <v>30</v>
      </c>
      <c r="F221" t="s">
        <v>11</v>
      </c>
      <c r="G221" t="s">
        <v>15</v>
      </c>
    </row>
    <row r="222" spans="1:7">
      <c r="A222" t="s">
        <v>98</v>
      </c>
      <c r="B222" s="1">
        <v>45736</v>
      </c>
      <c r="C222" t="s">
        <v>8</v>
      </c>
      <c r="D222" t="s">
        <v>33</v>
      </c>
      <c r="E222" t="s">
        <v>12</v>
      </c>
      <c r="F222" t="s">
        <v>11</v>
      </c>
      <c r="G222" t="s">
        <v>6</v>
      </c>
    </row>
    <row r="223" spans="1:7">
      <c r="A223" t="s">
        <v>97</v>
      </c>
      <c r="B223" s="1">
        <v>45867</v>
      </c>
      <c r="C223" t="s">
        <v>22</v>
      </c>
      <c r="D223" t="s">
        <v>26</v>
      </c>
      <c r="E223" t="s">
        <v>12</v>
      </c>
      <c r="F223" t="s">
        <v>1</v>
      </c>
      <c r="G223" t="s">
        <v>96</v>
      </c>
    </row>
    <row r="224" spans="1:7">
      <c r="A224" t="s">
        <v>95</v>
      </c>
      <c r="B224" s="1">
        <v>46104</v>
      </c>
      <c r="C224" t="s">
        <v>8</v>
      </c>
      <c r="D224" t="s">
        <v>26</v>
      </c>
      <c r="E224" t="s">
        <v>2</v>
      </c>
    </row>
    <row r="225" spans="1:7">
      <c r="A225" t="s">
        <v>94</v>
      </c>
      <c r="B225" s="1">
        <v>45945</v>
      </c>
      <c r="C225" t="s">
        <v>4</v>
      </c>
      <c r="D225" t="s">
        <v>33</v>
      </c>
      <c r="E225" t="s">
        <v>2</v>
      </c>
      <c r="F225" t="s">
        <v>1</v>
      </c>
      <c r="G225" t="s">
        <v>10</v>
      </c>
    </row>
    <row r="226" spans="1:7">
      <c r="A226" t="s">
        <v>93</v>
      </c>
      <c r="B226" s="1">
        <v>46050</v>
      </c>
      <c r="C226" t="s">
        <v>36</v>
      </c>
      <c r="D226" t="s">
        <v>33</v>
      </c>
      <c r="E226" t="s">
        <v>2</v>
      </c>
      <c r="F226" t="s">
        <v>11</v>
      </c>
      <c r="G226" t="s">
        <v>6</v>
      </c>
    </row>
    <row r="227" spans="1:7">
      <c r="A227" t="s">
        <v>92</v>
      </c>
      <c r="B227" s="1">
        <v>46043</v>
      </c>
      <c r="C227" t="s">
        <v>36</v>
      </c>
      <c r="D227" t="s">
        <v>21</v>
      </c>
      <c r="E227" t="s">
        <v>2</v>
      </c>
      <c r="F227" t="s">
        <v>47</v>
      </c>
      <c r="G227" t="s">
        <v>6</v>
      </c>
    </row>
    <row r="228" spans="1:7">
      <c r="A228" t="s">
        <v>91</v>
      </c>
      <c r="B228" s="1">
        <v>46056</v>
      </c>
      <c r="C228" t="s">
        <v>31</v>
      </c>
      <c r="D228" t="s">
        <v>7</v>
      </c>
      <c r="E228" t="s">
        <v>2</v>
      </c>
      <c r="F228" t="s">
        <v>16</v>
      </c>
      <c r="G228" t="s">
        <v>15</v>
      </c>
    </row>
    <row r="229" spans="1:7">
      <c r="A229" t="s">
        <v>90</v>
      </c>
      <c r="B229" s="1">
        <v>45824</v>
      </c>
      <c r="C229" t="s">
        <v>27</v>
      </c>
      <c r="D229" t="s">
        <v>7</v>
      </c>
      <c r="E229" t="s">
        <v>12</v>
      </c>
      <c r="F229" t="s">
        <v>16</v>
      </c>
      <c r="G229" t="s">
        <v>15</v>
      </c>
    </row>
    <row r="230" spans="1:7">
      <c r="A230" t="s">
        <v>89</v>
      </c>
      <c r="B230" s="1">
        <v>45714</v>
      </c>
      <c r="C230" t="s">
        <v>27</v>
      </c>
      <c r="E230" t="s">
        <v>2</v>
      </c>
      <c r="F230" t="s">
        <v>11</v>
      </c>
      <c r="G230" t="s">
        <v>0</v>
      </c>
    </row>
    <row r="231" spans="1:7">
      <c r="B231" s="1">
        <v>45748</v>
      </c>
      <c r="C231" t="s">
        <v>22</v>
      </c>
      <c r="D231" t="s">
        <v>13</v>
      </c>
      <c r="E231" t="s">
        <v>12</v>
      </c>
      <c r="F231" t="s">
        <v>11</v>
      </c>
      <c r="G231" t="s">
        <v>15</v>
      </c>
    </row>
    <row r="232" spans="1:7">
      <c r="A232" t="s">
        <v>88</v>
      </c>
      <c r="B232" s="1">
        <v>45960</v>
      </c>
      <c r="C232" t="s">
        <v>27</v>
      </c>
      <c r="D232" t="s">
        <v>26</v>
      </c>
      <c r="E232" t="s">
        <v>12</v>
      </c>
      <c r="F232" t="s">
        <v>1</v>
      </c>
      <c r="G232" t="s">
        <v>15</v>
      </c>
    </row>
    <row r="233" spans="1:7">
      <c r="A233" t="s">
        <v>87</v>
      </c>
      <c r="B233" s="1">
        <v>46091</v>
      </c>
      <c r="C233" t="s">
        <v>36</v>
      </c>
      <c r="D233" t="s">
        <v>3</v>
      </c>
      <c r="E233" t="s">
        <v>12</v>
      </c>
      <c r="G233" t="s">
        <v>0</v>
      </c>
    </row>
    <row r="234" spans="1:7">
      <c r="A234" t="s">
        <v>86</v>
      </c>
      <c r="B234" s="1">
        <v>45988</v>
      </c>
      <c r="C234" t="s">
        <v>27</v>
      </c>
      <c r="D234" t="s">
        <v>3</v>
      </c>
      <c r="E234" t="s">
        <v>2</v>
      </c>
      <c r="G234" t="s">
        <v>15</v>
      </c>
    </row>
    <row r="235" spans="1:7">
      <c r="A235" t="s">
        <v>45</v>
      </c>
      <c r="B235" s="1">
        <v>45983</v>
      </c>
      <c r="C235" t="s">
        <v>31</v>
      </c>
      <c r="D235" t="s">
        <v>21</v>
      </c>
      <c r="E235" t="s">
        <v>12</v>
      </c>
      <c r="F235" t="s">
        <v>1</v>
      </c>
      <c r="G235" t="s">
        <v>15</v>
      </c>
    </row>
    <row r="236" spans="1:7">
      <c r="A236" t="s">
        <v>85</v>
      </c>
      <c r="B236" s="1">
        <v>46145</v>
      </c>
      <c r="C236" t="s">
        <v>31</v>
      </c>
      <c r="D236" t="s">
        <v>7</v>
      </c>
      <c r="E236" t="s">
        <v>2</v>
      </c>
      <c r="F236" t="s">
        <v>47</v>
      </c>
      <c r="G236" t="s">
        <v>15</v>
      </c>
    </row>
    <row r="237" spans="1:7">
      <c r="A237" t="s">
        <v>84</v>
      </c>
      <c r="B237" s="1">
        <v>45997</v>
      </c>
      <c r="C237" t="s">
        <v>36</v>
      </c>
      <c r="E237" t="s">
        <v>2</v>
      </c>
      <c r="F237" t="s">
        <v>11</v>
      </c>
      <c r="G237" t="s">
        <v>6</v>
      </c>
    </row>
    <row r="238" spans="1:7">
      <c r="A238" t="s">
        <v>83</v>
      </c>
      <c r="B238" s="1">
        <v>46157</v>
      </c>
      <c r="D238" t="s">
        <v>33</v>
      </c>
      <c r="E238" t="s">
        <v>2</v>
      </c>
      <c r="F238" t="s">
        <v>1</v>
      </c>
      <c r="G238" t="s">
        <v>15</v>
      </c>
    </row>
    <row r="239" spans="1:7">
      <c r="A239" t="s">
        <v>82</v>
      </c>
      <c r="B239" s="1">
        <v>45830</v>
      </c>
      <c r="C239" t="s">
        <v>27</v>
      </c>
      <c r="D239" t="s">
        <v>21</v>
      </c>
      <c r="E239" t="s">
        <v>2</v>
      </c>
      <c r="F239" t="s">
        <v>1</v>
      </c>
      <c r="G239" t="s">
        <v>15</v>
      </c>
    </row>
    <row r="240" spans="1:7">
      <c r="A240" t="s">
        <v>81</v>
      </c>
      <c r="B240" s="1">
        <v>45715</v>
      </c>
      <c r="C240" t="s">
        <v>27</v>
      </c>
      <c r="E240" t="s">
        <v>2</v>
      </c>
      <c r="F240" t="s">
        <v>47</v>
      </c>
      <c r="G240" t="s">
        <v>15</v>
      </c>
    </row>
    <row r="241" spans="1:7">
      <c r="A241" t="s">
        <v>80</v>
      </c>
      <c r="B241" s="1">
        <v>45736</v>
      </c>
      <c r="C241" t="s">
        <v>36</v>
      </c>
      <c r="D241" t="s">
        <v>33</v>
      </c>
      <c r="E241" t="s">
        <v>2</v>
      </c>
      <c r="F241" t="s">
        <v>1</v>
      </c>
      <c r="G241" t="s">
        <v>6</v>
      </c>
    </row>
    <row r="242" spans="1:7">
      <c r="A242" t="s">
        <v>79</v>
      </c>
      <c r="B242" s="1">
        <v>45984</v>
      </c>
      <c r="C242" t="s">
        <v>36</v>
      </c>
      <c r="D242" t="s">
        <v>3</v>
      </c>
      <c r="E242" t="s">
        <v>2</v>
      </c>
      <c r="F242" t="s">
        <v>1</v>
      </c>
      <c r="G242" t="s">
        <v>6</v>
      </c>
    </row>
    <row r="243" spans="1:7">
      <c r="A243" t="s">
        <v>78</v>
      </c>
      <c r="B243" s="1">
        <v>45803</v>
      </c>
      <c r="C243" t="s">
        <v>8</v>
      </c>
      <c r="D243" t="s">
        <v>7</v>
      </c>
      <c r="F243" t="s">
        <v>16</v>
      </c>
      <c r="G243" t="s">
        <v>6</v>
      </c>
    </row>
    <row r="244" spans="1:7">
      <c r="A244" t="s">
        <v>77</v>
      </c>
      <c r="B244" s="1">
        <v>45755</v>
      </c>
      <c r="C244" t="s">
        <v>4</v>
      </c>
      <c r="D244" t="s">
        <v>21</v>
      </c>
      <c r="E244" t="s">
        <v>2</v>
      </c>
      <c r="F244" t="s">
        <v>1</v>
      </c>
      <c r="G244" t="s">
        <v>10</v>
      </c>
    </row>
    <row r="245" spans="1:7">
      <c r="A245" t="s">
        <v>76</v>
      </c>
      <c r="B245" s="1">
        <v>46084</v>
      </c>
      <c r="C245" t="s">
        <v>36</v>
      </c>
      <c r="D245" t="s">
        <v>3</v>
      </c>
      <c r="E245" t="s">
        <v>2</v>
      </c>
      <c r="F245" t="s">
        <v>16</v>
      </c>
      <c r="G245" t="s">
        <v>6</v>
      </c>
    </row>
    <row r="246" spans="1:7">
      <c r="A246" t="s">
        <v>75</v>
      </c>
      <c r="B246" s="1">
        <v>45860</v>
      </c>
      <c r="C246" t="s">
        <v>22</v>
      </c>
      <c r="D246" t="s">
        <v>7</v>
      </c>
      <c r="E246" t="s">
        <v>12</v>
      </c>
      <c r="F246" t="s">
        <v>11</v>
      </c>
      <c r="G246" t="s">
        <v>15</v>
      </c>
    </row>
    <row r="247" spans="1:7">
      <c r="A247" t="s">
        <v>74</v>
      </c>
      <c r="B247" s="1">
        <v>46081</v>
      </c>
      <c r="C247" t="s">
        <v>8</v>
      </c>
      <c r="D247" t="s">
        <v>7</v>
      </c>
      <c r="E247" t="s">
        <v>12</v>
      </c>
      <c r="F247" t="s">
        <v>11</v>
      </c>
      <c r="G247" t="s">
        <v>6</v>
      </c>
    </row>
    <row r="248" spans="1:7">
      <c r="B248" s="1">
        <v>46161</v>
      </c>
      <c r="C248" t="s">
        <v>4</v>
      </c>
      <c r="D248" t="s">
        <v>3</v>
      </c>
      <c r="E248" t="s">
        <v>12</v>
      </c>
      <c r="F248" t="s">
        <v>16</v>
      </c>
      <c r="G248" t="s">
        <v>10</v>
      </c>
    </row>
    <row r="249" spans="1:7">
      <c r="A249" t="s">
        <v>73</v>
      </c>
      <c r="B249" s="1">
        <v>45733</v>
      </c>
      <c r="C249" t="s">
        <v>36</v>
      </c>
      <c r="D249" t="s">
        <v>3</v>
      </c>
      <c r="E249" t="s">
        <v>2</v>
      </c>
      <c r="F249" t="s">
        <v>11</v>
      </c>
      <c r="G249" t="s">
        <v>6</v>
      </c>
    </row>
    <row r="250" spans="1:7">
      <c r="A250" t="s">
        <v>72</v>
      </c>
      <c r="B250" s="1">
        <v>46103</v>
      </c>
      <c r="C250" t="s">
        <v>31</v>
      </c>
      <c r="D250" t="s">
        <v>33</v>
      </c>
      <c r="E250" t="s">
        <v>2</v>
      </c>
      <c r="F250" t="s">
        <v>1</v>
      </c>
      <c r="G250" t="s">
        <v>15</v>
      </c>
    </row>
    <row r="251" spans="1:7">
      <c r="A251" t="s">
        <v>71</v>
      </c>
      <c r="B251" s="1">
        <v>46186</v>
      </c>
      <c r="C251" t="s">
        <v>4</v>
      </c>
      <c r="D251" t="s">
        <v>13</v>
      </c>
      <c r="E251" t="s">
        <v>2</v>
      </c>
      <c r="F251" t="s">
        <v>47</v>
      </c>
      <c r="G251" t="s">
        <v>10</v>
      </c>
    </row>
    <row r="252" spans="1:7">
      <c r="A252" t="s">
        <v>70</v>
      </c>
      <c r="B252" s="1">
        <v>45817</v>
      </c>
      <c r="C252" t="s">
        <v>27</v>
      </c>
      <c r="D252" t="s">
        <v>21</v>
      </c>
      <c r="E252" t="s">
        <v>2</v>
      </c>
      <c r="F252" t="s">
        <v>11</v>
      </c>
      <c r="G252" t="s">
        <v>55</v>
      </c>
    </row>
    <row r="253" spans="1:7">
      <c r="A253" t="s">
        <v>69</v>
      </c>
      <c r="B253" s="1">
        <v>45667</v>
      </c>
      <c r="C253" t="s">
        <v>27</v>
      </c>
      <c r="D253" t="s">
        <v>33</v>
      </c>
      <c r="E253" t="s">
        <v>2</v>
      </c>
      <c r="F253" t="s">
        <v>1</v>
      </c>
      <c r="G253" t="s">
        <v>15</v>
      </c>
    </row>
    <row r="254" spans="1:7">
      <c r="A254" t="s">
        <v>68</v>
      </c>
      <c r="B254" s="1">
        <v>46055</v>
      </c>
      <c r="C254" t="s">
        <v>36</v>
      </c>
      <c r="D254" t="s">
        <v>3</v>
      </c>
      <c r="E254" t="s">
        <v>2</v>
      </c>
      <c r="F254" t="s">
        <v>1</v>
      </c>
      <c r="G254" t="s">
        <v>6</v>
      </c>
    </row>
    <row r="255" spans="1:7">
      <c r="A255" t="s">
        <v>67</v>
      </c>
      <c r="B255" s="1">
        <v>45876</v>
      </c>
      <c r="C255" t="s">
        <v>36</v>
      </c>
      <c r="D255" t="s">
        <v>3</v>
      </c>
      <c r="E255" t="s">
        <v>12</v>
      </c>
      <c r="F255" t="s">
        <v>16</v>
      </c>
      <c r="G255" t="s">
        <v>6</v>
      </c>
    </row>
    <row r="256" spans="1:7">
      <c r="A256" t="s">
        <v>66</v>
      </c>
      <c r="B256" s="1">
        <v>46123</v>
      </c>
      <c r="C256" t="s">
        <v>36</v>
      </c>
      <c r="D256" t="s">
        <v>33</v>
      </c>
      <c r="E256" t="s">
        <v>12</v>
      </c>
      <c r="F256" t="s">
        <v>1</v>
      </c>
      <c r="G256" t="s">
        <v>6</v>
      </c>
    </row>
    <row r="257" spans="1:7">
      <c r="A257" t="s">
        <v>65</v>
      </c>
      <c r="B257" s="1">
        <v>46087</v>
      </c>
      <c r="C257" t="s">
        <v>4</v>
      </c>
      <c r="D257" t="s">
        <v>3</v>
      </c>
      <c r="E257" t="s">
        <v>2</v>
      </c>
      <c r="F257" t="s">
        <v>1</v>
      </c>
      <c r="G257" t="s">
        <v>10</v>
      </c>
    </row>
    <row r="258" spans="1:7">
      <c r="A258" t="s">
        <v>64</v>
      </c>
      <c r="B258" s="1">
        <v>46044</v>
      </c>
      <c r="C258" t="s">
        <v>8</v>
      </c>
      <c r="D258" t="s">
        <v>3</v>
      </c>
      <c r="E258" t="s">
        <v>2</v>
      </c>
      <c r="F258" t="s">
        <v>1</v>
      </c>
      <c r="G258" t="s">
        <v>6</v>
      </c>
    </row>
    <row r="259" spans="1:7">
      <c r="A259" t="s">
        <v>63</v>
      </c>
      <c r="B259" s="1">
        <v>45746</v>
      </c>
      <c r="C259" t="s">
        <v>27</v>
      </c>
      <c r="D259" t="s">
        <v>3</v>
      </c>
      <c r="F259" t="s">
        <v>1</v>
      </c>
      <c r="G259" t="s">
        <v>15</v>
      </c>
    </row>
    <row r="260" spans="1:7">
      <c r="A260" t="s">
        <v>62</v>
      </c>
      <c r="B260" s="1">
        <v>45858</v>
      </c>
      <c r="C260" t="s">
        <v>31</v>
      </c>
      <c r="D260" t="s">
        <v>26</v>
      </c>
      <c r="E260" t="s">
        <v>2</v>
      </c>
      <c r="F260" t="s">
        <v>16</v>
      </c>
      <c r="G260" t="s">
        <v>15</v>
      </c>
    </row>
    <row r="261" spans="1:7">
      <c r="A261" t="s">
        <v>61</v>
      </c>
      <c r="B261" s="1">
        <v>46149</v>
      </c>
      <c r="C261" t="s">
        <v>27</v>
      </c>
      <c r="D261" t="s">
        <v>7</v>
      </c>
      <c r="E261" t="s">
        <v>2</v>
      </c>
      <c r="F261" t="s">
        <v>11</v>
      </c>
      <c r="G261" t="s">
        <v>15</v>
      </c>
    </row>
    <row r="262" spans="1:7">
      <c r="A262" t="s">
        <v>60</v>
      </c>
      <c r="B262" s="1">
        <v>45668</v>
      </c>
      <c r="C262" t="s">
        <v>22</v>
      </c>
      <c r="D262" t="s">
        <v>3</v>
      </c>
      <c r="E262" t="s">
        <v>2</v>
      </c>
      <c r="G262" t="s">
        <v>15</v>
      </c>
    </row>
    <row r="263" spans="1:7">
      <c r="A263" t="s">
        <v>59</v>
      </c>
      <c r="B263" s="1">
        <v>46067</v>
      </c>
      <c r="C263" t="s">
        <v>8</v>
      </c>
      <c r="D263" t="s">
        <v>3</v>
      </c>
      <c r="E263" t="s">
        <v>12</v>
      </c>
      <c r="F263" t="s">
        <v>1</v>
      </c>
      <c r="G263" t="s">
        <v>6</v>
      </c>
    </row>
    <row r="264" spans="1:7">
      <c r="A264" t="s">
        <v>58</v>
      </c>
      <c r="B264" s="1">
        <v>45782</v>
      </c>
      <c r="C264" t="s">
        <v>8</v>
      </c>
      <c r="D264" t="s">
        <v>13</v>
      </c>
      <c r="E264" t="s">
        <v>2</v>
      </c>
      <c r="F264" t="s">
        <v>11</v>
      </c>
      <c r="G264" t="s">
        <v>6</v>
      </c>
    </row>
    <row r="265" spans="1:7">
      <c r="A265" t="s">
        <v>57</v>
      </c>
      <c r="B265" s="1">
        <v>46182</v>
      </c>
      <c r="C265" t="s">
        <v>27</v>
      </c>
      <c r="D265" t="s">
        <v>7</v>
      </c>
      <c r="E265" t="s">
        <v>2</v>
      </c>
      <c r="F265" t="s">
        <v>11</v>
      </c>
      <c r="G265" t="s">
        <v>15</v>
      </c>
    </row>
    <row r="266" spans="1:7">
      <c r="A266" t="s">
        <v>56</v>
      </c>
      <c r="B266" s="1">
        <v>45897</v>
      </c>
      <c r="C266" t="s">
        <v>31</v>
      </c>
      <c r="D266" t="s">
        <v>7</v>
      </c>
      <c r="E266" t="s">
        <v>2</v>
      </c>
      <c r="F266" t="s">
        <v>16</v>
      </c>
      <c r="G266" t="s">
        <v>55</v>
      </c>
    </row>
    <row r="267" spans="1:7">
      <c r="A267" t="s">
        <v>54</v>
      </c>
      <c r="B267" s="1">
        <v>45945</v>
      </c>
      <c r="C267" t="s">
        <v>31</v>
      </c>
      <c r="D267" t="s">
        <v>3</v>
      </c>
      <c r="E267" t="s">
        <v>30</v>
      </c>
      <c r="F267" t="s">
        <v>47</v>
      </c>
      <c r="G267" t="s">
        <v>15</v>
      </c>
    </row>
    <row r="268" spans="1:7">
      <c r="A268" t="s">
        <v>53</v>
      </c>
      <c r="B268" s="1">
        <v>45833</v>
      </c>
      <c r="D268" t="s">
        <v>3</v>
      </c>
      <c r="E268" t="s">
        <v>12</v>
      </c>
      <c r="F268" t="s">
        <v>11</v>
      </c>
      <c r="G268" t="s">
        <v>6</v>
      </c>
    </row>
    <row r="269" spans="1:7">
      <c r="A269" t="s">
        <v>52</v>
      </c>
      <c r="B269" s="1">
        <v>45977</v>
      </c>
      <c r="C269" t="s">
        <v>27</v>
      </c>
      <c r="D269" t="s">
        <v>26</v>
      </c>
      <c r="E269" t="s">
        <v>2</v>
      </c>
      <c r="F269" t="s">
        <v>16</v>
      </c>
    </row>
    <row r="270" spans="1:7">
      <c r="A270" t="s">
        <v>51</v>
      </c>
      <c r="B270" s="1">
        <v>45944</v>
      </c>
      <c r="C270" t="s">
        <v>31</v>
      </c>
      <c r="D270" t="s">
        <v>33</v>
      </c>
      <c r="E270" t="s">
        <v>12</v>
      </c>
      <c r="F270" t="s">
        <v>11</v>
      </c>
      <c r="G270" t="s">
        <v>15</v>
      </c>
    </row>
    <row r="271" spans="1:7">
      <c r="A271" t="s">
        <v>50</v>
      </c>
      <c r="B271" s="1">
        <v>45902</v>
      </c>
      <c r="C271" t="s">
        <v>27</v>
      </c>
      <c r="D271" t="s">
        <v>3</v>
      </c>
      <c r="E271" t="s">
        <v>2</v>
      </c>
      <c r="F271" t="s">
        <v>1</v>
      </c>
      <c r="G271" t="s">
        <v>15</v>
      </c>
    </row>
    <row r="272" spans="1:7">
      <c r="A272" t="s">
        <v>49</v>
      </c>
      <c r="B272" s="1">
        <v>45697</v>
      </c>
      <c r="C272" t="s">
        <v>36</v>
      </c>
      <c r="D272" t="s">
        <v>3</v>
      </c>
      <c r="E272" t="s">
        <v>2</v>
      </c>
      <c r="F272" t="s">
        <v>1</v>
      </c>
      <c r="G272" t="s">
        <v>6</v>
      </c>
    </row>
    <row r="273" spans="1:7">
      <c r="B273" s="1">
        <v>46050</v>
      </c>
      <c r="C273" t="s">
        <v>27</v>
      </c>
      <c r="D273" t="s">
        <v>7</v>
      </c>
      <c r="E273" t="s">
        <v>2</v>
      </c>
      <c r="F273" t="s">
        <v>1</v>
      </c>
      <c r="G273" t="s">
        <v>15</v>
      </c>
    </row>
    <row r="274" spans="1:7">
      <c r="A274" t="s">
        <v>48</v>
      </c>
      <c r="B274" s="1">
        <v>45832</v>
      </c>
      <c r="C274" t="s">
        <v>27</v>
      </c>
      <c r="D274" t="s">
        <v>3</v>
      </c>
      <c r="E274" t="s">
        <v>2</v>
      </c>
      <c r="F274" t="s">
        <v>47</v>
      </c>
    </row>
    <row r="275" spans="1:7">
      <c r="A275" t="s">
        <v>46</v>
      </c>
      <c r="B275" s="1">
        <v>46225</v>
      </c>
      <c r="C275" t="s">
        <v>31</v>
      </c>
      <c r="E275" t="s">
        <v>12</v>
      </c>
      <c r="F275" t="s">
        <v>11</v>
      </c>
      <c r="G275" t="s">
        <v>15</v>
      </c>
    </row>
    <row r="276" spans="1:7">
      <c r="A276" t="s">
        <v>45</v>
      </c>
      <c r="B276" s="1">
        <v>45983</v>
      </c>
      <c r="C276" t="s">
        <v>31</v>
      </c>
      <c r="D276" t="s">
        <v>21</v>
      </c>
      <c r="E276" t="s">
        <v>12</v>
      </c>
      <c r="F276" t="s">
        <v>1</v>
      </c>
      <c r="G276" t="s">
        <v>15</v>
      </c>
    </row>
    <row r="277" spans="1:7">
      <c r="A277" t="s">
        <v>44</v>
      </c>
      <c r="B277" s="1">
        <v>46079</v>
      </c>
      <c r="C277" t="s">
        <v>31</v>
      </c>
      <c r="D277" t="s">
        <v>21</v>
      </c>
      <c r="E277" t="s">
        <v>30</v>
      </c>
      <c r="F277" t="s">
        <v>11</v>
      </c>
      <c r="G277" t="s">
        <v>15</v>
      </c>
    </row>
    <row r="278" spans="1:7">
      <c r="A278" t="s">
        <v>43</v>
      </c>
      <c r="B278" s="1">
        <v>45932</v>
      </c>
      <c r="C278" t="s">
        <v>27</v>
      </c>
      <c r="D278" t="s">
        <v>13</v>
      </c>
      <c r="E278" t="s">
        <v>2</v>
      </c>
      <c r="F278" t="s">
        <v>11</v>
      </c>
      <c r="G278" t="s">
        <v>15</v>
      </c>
    </row>
    <row r="279" spans="1:7">
      <c r="A279" t="s">
        <v>42</v>
      </c>
      <c r="B279" s="1">
        <v>46234</v>
      </c>
      <c r="C279" t="s">
        <v>27</v>
      </c>
      <c r="D279" t="s">
        <v>7</v>
      </c>
      <c r="E279" t="s">
        <v>2</v>
      </c>
      <c r="F279" t="s">
        <v>1</v>
      </c>
      <c r="G279" t="s">
        <v>15</v>
      </c>
    </row>
    <row r="280" spans="1:7">
      <c r="B280" s="1">
        <v>45951</v>
      </c>
      <c r="C280" t="s">
        <v>31</v>
      </c>
      <c r="D280" t="s">
        <v>21</v>
      </c>
      <c r="E280" t="s">
        <v>2</v>
      </c>
      <c r="F280" t="s">
        <v>16</v>
      </c>
      <c r="G280" t="s">
        <v>15</v>
      </c>
    </row>
    <row r="281" spans="1:7">
      <c r="A281" t="s">
        <v>41</v>
      </c>
      <c r="B281" s="1">
        <v>45901</v>
      </c>
      <c r="C281" t="s">
        <v>8</v>
      </c>
      <c r="D281" t="s">
        <v>13</v>
      </c>
      <c r="E281" t="s">
        <v>12</v>
      </c>
      <c r="F281" t="s">
        <v>16</v>
      </c>
      <c r="G281" t="s">
        <v>6</v>
      </c>
    </row>
    <row r="282" spans="1:7">
      <c r="A282" t="s">
        <v>40</v>
      </c>
      <c r="B282" s="1">
        <v>46137</v>
      </c>
      <c r="C282" t="s">
        <v>8</v>
      </c>
      <c r="D282" t="s">
        <v>21</v>
      </c>
      <c r="F282" t="s">
        <v>1</v>
      </c>
      <c r="G282" t="s">
        <v>6</v>
      </c>
    </row>
    <row r="283" spans="1:7">
      <c r="A283" t="s">
        <v>39</v>
      </c>
      <c r="B283" s="1">
        <v>46228</v>
      </c>
      <c r="C283" t="s">
        <v>31</v>
      </c>
      <c r="E283" t="s">
        <v>12</v>
      </c>
      <c r="F283" t="s">
        <v>16</v>
      </c>
      <c r="G283" t="s">
        <v>15</v>
      </c>
    </row>
    <row r="284" spans="1:7">
      <c r="A284" t="s">
        <v>38</v>
      </c>
      <c r="B284" s="1">
        <v>45804</v>
      </c>
      <c r="C284" t="s">
        <v>8</v>
      </c>
      <c r="D284" t="s">
        <v>7</v>
      </c>
      <c r="E284" t="s">
        <v>2</v>
      </c>
      <c r="F284" t="s">
        <v>1</v>
      </c>
      <c r="G284" t="s">
        <v>6</v>
      </c>
    </row>
    <row r="285" spans="1:7">
      <c r="A285" t="s">
        <v>37</v>
      </c>
      <c r="B285" s="1">
        <v>45882</v>
      </c>
      <c r="C285" t="s">
        <v>36</v>
      </c>
      <c r="D285" t="s">
        <v>13</v>
      </c>
      <c r="E285" t="s">
        <v>12</v>
      </c>
      <c r="F285" t="s">
        <v>11</v>
      </c>
      <c r="G285" t="s">
        <v>6</v>
      </c>
    </row>
    <row r="286" spans="1:7">
      <c r="B286" s="1">
        <v>45992</v>
      </c>
      <c r="C286" t="s">
        <v>31</v>
      </c>
      <c r="D286" t="s">
        <v>26</v>
      </c>
      <c r="E286" t="s">
        <v>2</v>
      </c>
      <c r="F286" t="s">
        <v>1</v>
      </c>
      <c r="G286" t="s">
        <v>15</v>
      </c>
    </row>
    <row r="287" spans="1:7">
      <c r="A287" t="s">
        <v>35</v>
      </c>
      <c r="B287" s="1">
        <v>45908</v>
      </c>
      <c r="C287" t="s">
        <v>4</v>
      </c>
      <c r="D287" t="s">
        <v>13</v>
      </c>
      <c r="E287" t="s">
        <v>2</v>
      </c>
      <c r="F287" t="s">
        <v>11</v>
      </c>
      <c r="G287" t="s">
        <v>10</v>
      </c>
    </row>
    <row r="288" spans="1:7">
      <c r="A288" t="s">
        <v>34</v>
      </c>
      <c r="B288" s="1">
        <v>46162</v>
      </c>
      <c r="C288" t="s">
        <v>27</v>
      </c>
      <c r="D288" t="s">
        <v>33</v>
      </c>
      <c r="E288" t="s">
        <v>2</v>
      </c>
      <c r="F288" t="s">
        <v>1</v>
      </c>
      <c r="G288" t="s">
        <v>15</v>
      </c>
    </row>
    <row r="289" spans="1:7">
      <c r="A289" t="s">
        <v>32</v>
      </c>
      <c r="B289" s="1">
        <v>45806</v>
      </c>
      <c r="C289" t="s">
        <v>31</v>
      </c>
      <c r="D289" t="s">
        <v>7</v>
      </c>
      <c r="E289" t="s">
        <v>30</v>
      </c>
      <c r="F289" t="s">
        <v>11</v>
      </c>
      <c r="G289" t="s">
        <v>15</v>
      </c>
    </row>
    <row r="290" spans="1:7">
      <c r="A290" t="s">
        <v>29</v>
      </c>
      <c r="B290" s="1">
        <v>45856</v>
      </c>
      <c r="D290" t="s">
        <v>26</v>
      </c>
      <c r="E290" t="s">
        <v>12</v>
      </c>
      <c r="F290" t="s">
        <v>1</v>
      </c>
      <c r="G290" t="s">
        <v>15</v>
      </c>
    </row>
    <row r="291" spans="1:7">
      <c r="A291" t="s">
        <v>28</v>
      </c>
      <c r="B291" s="1"/>
      <c r="C291" t="s">
        <v>27</v>
      </c>
      <c r="D291" t="s">
        <v>26</v>
      </c>
      <c r="E291" t="s">
        <v>2</v>
      </c>
      <c r="F291" t="s">
        <v>1</v>
      </c>
      <c r="G291" t="s">
        <v>15</v>
      </c>
    </row>
    <row r="292" spans="1:7">
      <c r="A292" t="s">
        <v>25</v>
      </c>
      <c r="B292" s="1">
        <v>45970</v>
      </c>
      <c r="C292" t="s">
        <v>4</v>
      </c>
      <c r="D292" t="s">
        <v>3</v>
      </c>
      <c r="F292" t="s">
        <v>1</v>
      </c>
      <c r="G292" t="s">
        <v>10</v>
      </c>
    </row>
    <row r="293" spans="1:7">
      <c r="A293" t="s">
        <v>24</v>
      </c>
      <c r="B293" s="1">
        <v>45822</v>
      </c>
      <c r="C293" t="s">
        <v>22</v>
      </c>
      <c r="D293" t="s">
        <v>7</v>
      </c>
      <c r="E293" t="s">
        <v>12</v>
      </c>
      <c r="F293" t="s">
        <v>11</v>
      </c>
      <c r="G293" t="s">
        <v>15</v>
      </c>
    </row>
    <row r="294" spans="1:7">
      <c r="A294" t="s">
        <v>23</v>
      </c>
      <c r="B294" s="1">
        <v>46005</v>
      </c>
      <c r="C294" t="s">
        <v>22</v>
      </c>
      <c r="D294" t="s">
        <v>21</v>
      </c>
      <c r="E294" t="s">
        <v>2</v>
      </c>
      <c r="G294" t="s">
        <v>15</v>
      </c>
    </row>
    <row r="295" spans="1:7">
      <c r="A295" t="s">
        <v>20</v>
      </c>
      <c r="B295" s="1">
        <v>46052</v>
      </c>
      <c r="C295" t="s">
        <v>8</v>
      </c>
      <c r="D295" t="s">
        <v>13</v>
      </c>
      <c r="E295" t="s">
        <v>12</v>
      </c>
      <c r="F295" t="s">
        <v>11</v>
      </c>
      <c r="G295" t="s">
        <v>6</v>
      </c>
    </row>
    <row r="296" spans="1:7">
      <c r="A296" t="s">
        <v>19</v>
      </c>
      <c r="B296" s="1"/>
      <c r="C296" t="s">
        <v>8</v>
      </c>
      <c r="D296" t="s">
        <v>13</v>
      </c>
      <c r="E296" t="s">
        <v>12</v>
      </c>
      <c r="F296" t="s">
        <v>1</v>
      </c>
      <c r="G296" t="s">
        <v>6</v>
      </c>
    </row>
    <row r="297" spans="1:7">
      <c r="A297" t="s">
        <v>18</v>
      </c>
      <c r="B297" s="1">
        <v>45691</v>
      </c>
      <c r="C297" t="s">
        <v>8</v>
      </c>
      <c r="D297" t="s">
        <v>7</v>
      </c>
      <c r="E297" t="s">
        <v>12</v>
      </c>
      <c r="F297" t="s">
        <v>11</v>
      </c>
    </row>
    <row r="298" spans="1:7">
      <c r="A298" t="s">
        <v>17</v>
      </c>
      <c r="B298" s="1">
        <v>46000</v>
      </c>
      <c r="D298" t="s">
        <v>3</v>
      </c>
      <c r="E298" t="s">
        <v>2</v>
      </c>
      <c r="F298" t="s">
        <v>16</v>
      </c>
      <c r="G298" t="s">
        <v>15</v>
      </c>
    </row>
    <row r="299" spans="1:7">
      <c r="A299" t="s">
        <v>14</v>
      </c>
      <c r="B299" s="1">
        <v>45681</v>
      </c>
      <c r="C299" t="s">
        <v>4</v>
      </c>
      <c r="D299" t="s">
        <v>13</v>
      </c>
      <c r="E299" t="s">
        <v>12</v>
      </c>
      <c r="F299" t="s">
        <v>11</v>
      </c>
      <c r="G299" t="s">
        <v>10</v>
      </c>
    </row>
    <row r="300" spans="1:7">
      <c r="A300" t="s">
        <v>9</v>
      </c>
      <c r="B300" s="1">
        <v>45711</v>
      </c>
      <c r="C300" t="s">
        <v>8</v>
      </c>
      <c r="D300" t="s">
        <v>7</v>
      </c>
      <c r="E300" t="s">
        <v>2</v>
      </c>
      <c r="F300" t="s">
        <v>1</v>
      </c>
      <c r="G300" t="s">
        <v>6</v>
      </c>
    </row>
    <row r="301" spans="1:7">
      <c r="A301" t="s">
        <v>5</v>
      </c>
      <c r="B301" s="1">
        <v>46143</v>
      </c>
      <c r="C301" t="s">
        <v>4</v>
      </c>
      <c r="D301" t="s">
        <v>3</v>
      </c>
      <c r="E301" t="s">
        <v>2</v>
      </c>
      <c r="F301" t="s">
        <v>1</v>
      </c>
      <c r="G30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6CB2B-62B2-48EA-B9A3-BFA1AB995740}">
  <dimension ref="A3:I61"/>
  <sheetViews>
    <sheetView topLeftCell="A55" zoomScale="120" workbookViewId="0">
      <selection activeCell="C65" sqref="C65"/>
    </sheetView>
  </sheetViews>
  <sheetFormatPr defaultRowHeight="14.5"/>
  <cols>
    <col min="1" max="1" width="12.453125" style="6" bestFit="1" customWidth="1"/>
    <col min="2" max="3" width="18.08984375" style="6" bestFit="1" customWidth="1"/>
    <col min="4" max="4" width="15.6328125" style="6" bestFit="1" customWidth="1"/>
    <col min="5" max="5" width="4.81640625" style="6" bestFit="1" customWidth="1"/>
    <col min="6" max="6" width="1.81640625" style="6" bestFit="1" customWidth="1"/>
    <col min="7" max="7" width="12.453125" style="6" bestFit="1" customWidth="1"/>
    <col min="8" max="8" width="25" style="6" bestFit="1" customWidth="1"/>
    <col min="9" max="9" width="8.7265625" style="6"/>
    <col min="10" max="10" width="12.453125" style="6" bestFit="1" customWidth="1"/>
    <col min="11" max="11" width="16.08984375" style="6" bestFit="1" customWidth="1"/>
    <col min="12" max="16384" width="8.7265625" style="6"/>
  </cols>
  <sheetData>
    <row r="3" spans="1:9">
      <c r="A3" s="43" t="s">
        <v>322</v>
      </c>
      <c r="B3" s="43" t="s">
        <v>325</v>
      </c>
    </row>
    <row r="4" spans="1:9">
      <c r="A4" s="5" t="s">
        <v>36</v>
      </c>
      <c r="B4" s="6">
        <v>60</v>
      </c>
    </row>
    <row r="5" spans="1:9">
      <c r="A5" s="5" t="s">
        <v>22</v>
      </c>
      <c r="B5" s="6">
        <v>18</v>
      </c>
      <c r="H5" s="43" t="s">
        <v>322</v>
      </c>
      <c r="I5" s="43" t="s">
        <v>325</v>
      </c>
    </row>
    <row r="6" spans="1:9">
      <c r="A6" s="5" t="s">
        <v>31</v>
      </c>
      <c r="B6" s="6">
        <v>57</v>
      </c>
      <c r="H6" s="5" t="s">
        <v>33</v>
      </c>
      <c r="I6" s="6">
        <v>38</v>
      </c>
    </row>
    <row r="7" spans="1:9">
      <c r="A7" s="5" t="s">
        <v>8</v>
      </c>
      <c r="B7" s="6">
        <v>44</v>
      </c>
      <c r="H7" s="5" t="s">
        <v>3</v>
      </c>
      <c r="I7" s="6">
        <v>84</v>
      </c>
    </row>
    <row r="8" spans="1:9">
      <c r="A8" s="5" t="s">
        <v>27</v>
      </c>
      <c r="B8" s="6">
        <v>85</v>
      </c>
      <c r="H8" s="5" t="s">
        <v>21</v>
      </c>
      <c r="I8" s="6">
        <v>32</v>
      </c>
    </row>
    <row r="9" spans="1:9">
      <c r="A9" s="5" t="s">
        <v>4</v>
      </c>
      <c r="B9" s="6">
        <v>28</v>
      </c>
      <c r="H9" s="5" t="s">
        <v>13</v>
      </c>
      <c r="I9" s="6">
        <v>32</v>
      </c>
    </row>
    <row r="10" spans="1:9">
      <c r="A10" s="44" t="s">
        <v>323</v>
      </c>
      <c r="B10" s="43">
        <v>292</v>
      </c>
      <c r="H10" s="5" t="s">
        <v>7</v>
      </c>
      <c r="I10" s="6">
        <v>62</v>
      </c>
    </row>
    <row r="11" spans="1:9">
      <c r="H11" s="5" t="s">
        <v>26</v>
      </c>
      <c r="I11" s="6">
        <v>44</v>
      </c>
    </row>
    <row r="12" spans="1:9">
      <c r="H12" s="45" t="s">
        <v>323</v>
      </c>
      <c r="I12" s="46">
        <v>292</v>
      </c>
    </row>
    <row r="17" spans="1:8">
      <c r="A17" s="13" t="s">
        <v>322</v>
      </c>
      <c r="B17" s="13" t="s">
        <v>325</v>
      </c>
      <c r="F17" s="13" t="s">
        <v>322</v>
      </c>
      <c r="G17" s="13" t="s">
        <v>325</v>
      </c>
    </row>
    <row r="18" spans="1:8">
      <c r="A18" s="5" t="s">
        <v>12</v>
      </c>
      <c r="B18" s="6">
        <v>89</v>
      </c>
      <c r="F18" s="5" t="s">
        <v>1</v>
      </c>
      <c r="G18" s="6">
        <v>123</v>
      </c>
    </row>
    <row r="19" spans="1:8">
      <c r="A19" s="5" t="s">
        <v>2</v>
      </c>
      <c r="B19" s="6">
        <v>160</v>
      </c>
      <c r="F19" s="5" t="s">
        <v>16</v>
      </c>
      <c r="G19" s="6">
        <v>67</v>
      </c>
    </row>
    <row r="20" spans="1:8">
      <c r="A20" s="5" t="s">
        <v>30</v>
      </c>
      <c r="B20" s="6">
        <v>43</v>
      </c>
      <c r="F20" s="5" t="s">
        <v>47</v>
      </c>
      <c r="G20" s="6">
        <v>25</v>
      </c>
    </row>
    <row r="21" spans="1:8">
      <c r="A21" s="47" t="s">
        <v>323</v>
      </c>
      <c r="B21" s="13">
        <v>292</v>
      </c>
      <c r="F21" s="5" t="s">
        <v>11</v>
      </c>
      <c r="G21" s="6">
        <v>77</v>
      </c>
    </row>
    <row r="22" spans="1:8">
      <c r="F22" s="47" t="s">
        <v>323</v>
      </c>
      <c r="G22" s="13">
        <v>292</v>
      </c>
    </row>
    <row r="29" spans="1:8">
      <c r="A29" s="13" t="s">
        <v>322</v>
      </c>
      <c r="B29" s="13" t="s">
        <v>325</v>
      </c>
      <c r="G29" s="46" t="s">
        <v>322</v>
      </c>
      <c r="H29" s="46" t="s">
        <v>357</v>
      </c>
    </row>
    <row r="30" spans="1:8">
      <c r="A30" s="5" t="s">
        <v>6</v>
      </c>
      <c r="B30" s="6">
        <v>106</v>
      </c>
      <c r="G30" s="5" t="s">
        <v>327</v>
      </c>
      <c r="H30" s="6">
        <v>27</v>
      </c>
    </row>
    <row r="31" spans="1:8">
      <c r="A31" s="5" t="s">
        <v>10</v>
      </c>
      <c r="B31" s="6">
        <v>30</v>
      </c>
      <c r="G31" s="5" t="s">
        <v>328</v>
      </c>
      <c r="H31" s="6">
        <v>34</v>
      </c>
    </row>
    <row r="32" spans="1:8">
      <c r="A32" s="5" t="s">
        <v>15</v>
      </c>
      <c r="B32" s="6">
        <v>156</v>
      </c>
      <c r="G32" s="5" t="s">
        <v>329</v>
      </c>
      <c r="H32" s="6">
        <v>21</v>
      </c>
    </row>
    <row r="33" spans="1:8">
      <c r="A33" s="47" t="s">
        <v>323</v>
      </c>
      <c r="B33" s="13">
        <v>292</v>
      </c>
      <c r="G33" s="5" t="s">
        <v>330</v>
      </c>
      <c r="H33" s="6">
        <v>28</v>
      </c>
    </row>
    <row r="34" spans="1:8">
      <c r="G34" s="5" t="s">
        <v>331</v>
      </c>
      <c r="H34" s="6">
        <v>30</v>
      </c>
    </row>
    <row r="35" spans="1:8">
      <c r="G35" s="5" t="s">
        <v>332</v>
      </c>
      <c r="H35" s="6">
        <v>24</v>
      </c>
    </row>
    <row r="36" spans="1:8">
      <c r="G36" s="5" t="s">
        <v>333</v>
      </c>
      <c r="H36" s="6">
        <v>56</v>
      </c>
    </row>
    <row r="37" spans="1:8">
      <c r="G37" s="5" t="s">
        <v>334</v>
      </c>
      <c r="H37" s="6">
        <v>16</v>
      </c>
    </row>
    <row r="38" spans="1:8">
      <c r="G38" s="5" t="s">
        <v>335</v>
      </c>
      <c r="H38" s="6">
        <v>17</v>
      </c>
    </row>
    <row r="39" spans="1:8">
      <c r="A39" s="46" t="s">
        <v>322</v>
      </c>
      <c r="B39" s="46" t="s">
        <v>358</v>
      </c>
      <c r="G39" s="5" t="s">
        <v>336</v>
      </c>
      <c r="H39" s="6">
        <v>13</v>
      </c>
    </row>
    <row r="40" spans="1:8">
      <c r="A40" s="5">
        <v>2025</v>
      </c>
      <c r="B40" s="6">
        <v>169</v>
      </c>
      <c r="G40" s="5" t="s">
        <v>337</v>
      </c>
      <c r="H40" s="6">
        <v>13</v>
      </c>
    </row>
    <row r="41" spans="1:8">
      <c r="A41" s="5">
        <v>2026</v>
      </c>
      <c r="B41" s="6">
        <v>123</v>
      </c>
      <c r="G41" s="5" t="s">
        <v>338</v>
      </c>
      <c r="H41" s="6">
        <v>13</v>
      </c>
    </row>
    <row r="42" spans="1:8">
      <c r="A42" s="5"/>
      <c r="B42" s="6">
        <v>1</v>
      </c>
      <c r="G42" s="5"/>
      <c r="H42" s="6">
        <v>1</v>
      </c>
    </row>
    <row r="43" spans="1:8">
      <c r="A43" s="45" t="s">
        <v>323</v>
      </c>
      <c r="B43" s="46">
        <v>293</v>
      </c>
      <c r="G43" s="45" t="s">
        <v>323</v>
      </c>
      <c r="H43" s="46">
        <v>293</v>
      </c>
    </row>
    <row r="53" spans="3:7">
      <c r="C53" s="3" t="s">
        <v>358</v>
      </c>
      <c r="D53" s="3" t="s">
        <v>326</v>
      </c>
      <c r="E53"/>
      <c r="F53"/>
      <c r="G53"/>
    </row>
    <row r="54" spans="3:7">
      <c r="C54" s="3" t="s">
        <v>322</v>
      </c>
      <c r="D54">
        <v>2025</v>
      </c>
      <c r="E54">
        <v>2026</v>
      </c>
      <c r="F54"/>
      <c r="G54" t="s">
        <v>323</v>
      </c>
    </row>
    <row r="55" spans="3:7">
      <c r="C55" s="4" t="s">
        <v>36</v>
      </c>
      <c r="D55">
        <v>33</v>
      </c>
      <c r="E55">
        <v>27</v>
      </c>
      <c r="F55"/>
      <c r="G55">
        <v>60</v>
      </c>
    </row>
    <row r="56" spans="3:7">
      <c r="C56" s="4" t="s">
        <v>22</v>
      </c>
      <c r="D56">
        <v>15</v>
      </c>
      <c r="E56">
        <v>3</v>
      </c>
      <c r="F56"/>
      <c r="G56">
        <v>18</v>
      </c>
    </row>
    <row r="57" spans="3:7">
      <c r="C57" s="4" t="s">
        <v>31</v>
      </c>
      <c r="D57">
        <v>33</v>
      </c>
      <c r="E57">
        <v>24</v>
      </c>
      <c r="F57"/>
      <c r="G57">
        <v>57</v>
      </c>
    </row>
    <row r="58" spans="3:7">
      <c r="C58" s="4" t="s">
        <v>8</v>
      </c>
      <c r="D58">
        <v>25</v>
      </c>
      <c r="E58">
        <v>19</v>
      </c>
      <c r="F58"/>
      <c r="G58">
        <v>44</v>
      </c>
    </row>
    <row r="59" spans="3:7">
      <c r="C59" s="4" t="s">
        <v>27</v>
      </c>
      <c r="D59">
        <v>46</v>
      </c>
      <c r="E59">
        <v>39</v>
      </c>
      <c r="F59"/>
      <c r="G59">
        <v>85</v>
      </c>
    </row>
    <row r="60" spans="3:7">
      <c r="C60" s="4" t="s">
        <v>4</v>
      </c>
      <c r="D60">
        <v>17</v>
      </c>
      <c r="E60">
        <v>11</v>
      </c>
      <c r="F60">
        <v>1</v>
      </c>
      <c r="G60">
        <v>29</v>
      </c>
    </row>
    <row r="61" spans="3:7">
      <c r="C61" s="4" t="s">
        <v>323</v>
      </c>
      <c r="D61">
        <v>169</v>
      </c>
      <c r="E61">
        <v>123</v>
      </c>
      <c r="F61">
        <v>1</v>
      </c>
      <c r="G61">
        <v>293</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3BD95-49B7-488B-AEAD-BB6D106F8D0C}">
  <dimension ref="A1:P293"/>
  <sheetViews>
    <sheetView topLeftCell="A284" zoomScale="110" workbookViewId="0">
      <selection activeCell="B296" sqref="B296"/>
    </sheetView>
  </sheetViews>
  <sheetFormatPr defaultRowHeight="14.5"/>
  <cols>
    <col min="1" max="1" width="19.26953125" customWidth="1"/>
    <col min="2" max="2" width="23.453125" customWidth="1"/>
    <col min="3" max="3" width="19.453125" customWidth="1"/>
    <col min="4" max="4" width="15.81640625" customWidth="1"/>
    <col min="5" max="5" width="19.81640625" customWidth="1"/>
    <col min="6" max="6" width="19.36328125" customWidth="1"/>
    <col min="7" max="8" width="19.6328125" customWidth="1"/>
    <col min="9" max="9" width="16.08984375" customWidth="1"/>
    <col min="10" max="10" width="22.1796875" customWidth="1"/>
    <col min="11" max="11" width="18.6328125" customWidth="1"/>
    <col min="12" max="12" width="16.453125" customWidth="1"/>
    <col min="13" max="13" width="16.6328125" customWidth="1"/>
    <col min="14" max="14" width="23.1796875" customWidth="1"/>
    <col min="16" max="16" width="9.08984375" bestFit="1" customWidth="1"/>
  </cols>
  <sheetData>
    <row r="1" spans="1:16">
      <c r="A1" s="8" t="s">
        <v>314</v>
      </c>
      <c r="B1" s="8" t="s">
        <v>313</v>
      </c>
      <c r="C1" s="8" t="s">
        <v>312</v>
      </c>
      <c r="D1" s="8" t="s">
        <v>311</v>
      </c>
      <c r="E1" s="8" t="s">
        <v>310</v>
      </c>
      <c r="F1" s="8" t="s">
        <v>309</v>
      </c>
      <c r="G1" s="8" t="s">
        <v>308</v>
      </c>
      <c r="H1" s="8" t="s">
        <v>321</v>
      </c>
      <c r="I1" s="8" t="s">
        <v>316</v>
      </c>
      <c r="J1" s="8" t="s">
        <v>317</v>
      </c>
      <c r="K1" s="9" t="s">
        <v>318</v>
      </c>
      <c r="L1" s="9" t="s">
        <v>319</v>
      </c>
      <c r="M1" s="9" t="s">
        <v>320</v>
      </c>
      <c r="N1" s="9" t="s">
        <v>340</v>
      </c>
    </row>
    <row r="2" spans="1:16">
      <c r="A2" t="s">
        <v>342</v>
      </c>
      <c r="B2" s="1">
        <v>46215</v>
      </c>
      <c r="C2" t="s">
        <v>36</v>
      </c>
      <c r="D2" t="s">
        <v>13</v>
      </c>
      <c r="E2" t="s">
        <v>2</v>
      </c>
      <c r="F2" t="s">
        <v>16</v>
      </c>
      <c r="G2" t="s">
        <v>6</v>
      </c>
      <c r="H2">
        <f t="shared" ref="H2:H65" si="0">IF(B2="","",YEAR(B2))</f>
        <v>2026</v>
      </c>
      <c r="I2">
        <f t="shared" ref="I2:I65" si="1">IF(B2="","",MONTH(B2))</f>
        <v>7</v>
      </c>
      <c r="J2" t="str">
        <f t="shared" ref="J2:J65" si="2">IF(B2="","",TEXT(B2,"mmmm"))</f>
        <v>July</v>
      </c>
      <c r="K2" t="str">
        <f t="shared" ref="K2:K65" si="3">IF(COUNTBLANK(A2:G2)+COUNTIF(A2:G2,"Unknown")+COUNTIF(A2:G2,"-")&gt;0,"Needs Review","OK")</f>
        <v>OK</v>
      </c>
      <c r="L2" t="str">
        <f>IF(COUNTIF(A$2:A2,A2)&gt;1,"Duplicate","Unique")</f>
        <v>Unique</v>
      </c>
      <c r="M2" t="str">
        <f t="shared" ref="M2:M65" si="4">IF(OR(K2="Needs Review",L2="Duplicate"),"Review","Ready")</f>
        <v>Ready</v>
      </c>
      <c r="N2" t="str">
        <f>clean_data!D13 &amp; " - " &amp; clean_data!C13</f>
        <v>Hodan - Traffic Offense</v>
      </c>
    </row>
    <row r="3" spans="1:16">
      <c r="A3" t="s">
        <v>343</v>
      </c>
      <c r="B3" s="1">
        <v>45822</v>
      </c>
      <c r="C3" t="s">
        <v>8</v>
      </c>
      <c r="D3" t="s">
        <v>3</v>
      </c>
      <c r="E3" t="s">
        <v>30</v>
      </c>
      <c r="F3" t="s">
        <v>1</v>
      </c>
      <c r="G3" t="s">
        <v>6</v>
      </c>
      <c r="H3">
        <f t="shared" si="0"/>
        <v>2025</v>
      </c>
      <c r="I3">
        <f t="shared" si="1"/>
        <v>6</v>
      </c>
      <c r="J3" t="str">
        <f t="shared" si="2"/>
        <v>June</v>
      </c>
      <c r="K3" t="str">
        <f t="shared" si="3"/>
        <v>Needs Review</v>
      </c>
      <c r="L3" t="str">
        <f>IF(COUNTIF(A$2:A3,A3)&gt;1,"Duplicate","Unique")</f>
        <v>Unique</v>
      </c>
      <c r="M3" t="str">
        <f t="shared" si="4"/>
        <v>Review</v>
      </c>
      <c r="N3" t="str">
        <f>clean_data!D38 &amp; " - " &amp; clean_data!C38</f>
        <v>Karan - Assault</v>
      </c>
      <c r="P3" s="48"/>
    </row>
    <row r="4" spans="1:16">
      <c r="A4" t="s">
        <v>344</v>
      </c>
      <c r="B4" s="1">
        <v>46017</v>
      </c>
      <c r="C4" t="s">
        <v>8</v>
      </c>
      <c r="D4" t="s">
        <v>33</v>
      </c>
      <c r="E4" t="s">
        <v>2</v>
      </c>
      <c r="F4" t="s">
        <v>16</v>
      </c>
      <c r="G4" t="s">
        <v>6</v>
      </c>
      <c r="H4">
        <f t="shared" si="0"/>
        <v>2025</v>
      </c>
      <c r="I4">
        <f t="shared" si="1"/>
        <v>12</v>
      </c>
      <c r="J4" t="str">
        <f t="shared" si="2"/>
        <v>December</v>
      </c>
      <c r="K4" t="str">
        <f t="shared" si="3"/>
        <v>OK</v>
      </c>
      <c r="L4" t="str">
        <f>IF(COUNTIF(A$2:A4,A4)&gt;1,"Duplicate","Unique")</f>
        <v>Unique</v>
      </c>
      <c r="M4" t="str">
        <f t="shared" si="4"/>
        <v>Ready</v>
      </c>
      <c r="N4" t="str">
        <f>clean_data!D46 &amp; " - " &amp; clean_data!C46</f>
        <v>Hodan - Burglary</v>
      </c>
    </row>
    <row r="5" spans="1:16">
      <c r="A5" t="s">
        <v>345</v>
      </c>
      <c r="B5" s="1">
        <v>45832</v>
      </c>
      <c r="C5" t="s">
        <v>36</v>
      </c>
      <c r="D5" t="s">
        <v>26</v>
      </c>
      <c r="E5" t="s">
        <v>12</v>
      </c>
      <c r="F5" t="s">
        <v>47</v>
      </c>
      <c r="G5" t="s">
        <v>6</v>
      </c>
      <c r="H5">
        <f t="shared" si="0"/>
        <v>2025</v>
      </c>
      <c r="I5">
        <f t="shared" si="1"/>
        <v>6</v>
      </c>
      <c r="J5" t="str">
        <f t="shared" si="2"/>
        <v>June</v>
      </c>
      <c r="K5" t="str">
        <f t="shared" si="3"/>
        <v>OK</v>
      </c>
      <c r="L5" t="str">
        <f>IF(COUNTIF(A$2:A5,A5)&gt;1,"Duplicate","Unique")</f>
        <v>Unique</v>
      </c>
      <c r="M5" t="str">
        <f t="shared" si="4"/>
        <v>Ready</v>
      </c>
      <c r="N5" t="str">
        <f>clean_data!D73 &amp; " - " &amp; clean_data!C73</f>
        <v>Hodan - Fraud</v>
      </c>
    </row>
    <row r="6" spans="1:16">
      <c r="A6" t="s">
        <v>346</v>
      </c>
      <c r="B6" s="1">
        <v>46045</v>
      </c>
      <c r="C6" t="s">
        <v>36</v>
      </c>
      <c r="D6" t="s">
        <v>33</v>
      </c>
      <c r="E6" t="s">
        <v>2</v>
      </c>
      <c r="F6" t="s">
        <v>11</v>
      </c>
      <c r="G6" t="s">
        <v>6</v>
      </c>
      <c r="H6">
        <f t="shared" si="0"/>
        <v>2026</v>
      </c>
      <c r="I6">
        <f t="shared" si="1"/>
        <v>1</v>
      </c>
      <c r="J6" t="str">
        <f t="shared" si="2"/>
        <v>January</v>
      </c>
      <c r="K6" t="str">
        <f t="shared" si="3"/>
        <v>OK</v>
      </c>
      <c r="L6" t="str">
        <f>IF(COUNTIF(A$2:A6,A6)&gt;1,"Duplicate","Unique")</f>
        <v>Unique</v>
      </c>
      <c r="M6" t="str">
        <f t="shared" si="4"/>
        <v>Ready</v>
      </c>
      <c r="N6" t="str">
        <f>clean_data!D111 &amp; " - " &amp; clean_data!C111</f>
        <v>Wadajir - Assault</v>
      </c>
    </row>
    <row r="7" spans="1:16">
      <c r="A7" t="s">
        <v>347</v>
      </c>
      <c r="B7" s="1">
        <v>46039</v>
      </c>
      <c r="C7" t="s">
        <v>8</v>
      </c>
      <c r="D7" t="s">
        <v>33</v>
      </c>
      <c r="E7" t="s">
        <v>2</v>
      </c>
      <c r="F7" t="s">
        <v>1</v>
      </c>
      <c r="G7" t="s">
        <v>6</v>
      </c>
      <c r="H7">
        <f t="shared" si="0"/>
        <v>2026</v>
      </c>
      <c r="I7">
        <f t="shared" si="1"/>
        <v>1</v>
      </c>
      <c r="J7" t="str">
        <f t="shared" si="2"/>
        <v>January</v>
      </c>
      <c r="K7" t="str">
        <f t="shared" si="3"/>
        <v>OK</v>
      </c>
      <c r="L7" t="str">
        <f>IF(COUNTIF(A$2:A7,A7)&gt;1,"Duplicate","Unique")</f>
        <v>Unique</v>
      </c>
      <c r="M7" t="str">
        <f t="shared" si="4"/>
        <v>Ready</v>
      </c>
      <c r="N7" t="str">
        <f>clean_data!D118 &amp; " - " &amp; clean_data!C118</f>
        <v>Hodan - Assault</v>
      </c>
    </row>
    <row r="8" spans="1:16">
      <c r="A8" t="s">
        <v>348</v>
      </c>
      <c r="B8" s="1">
        <v>46159</v>
      </c>
      <c r="C8" t="s">
        <v>27</v>
      </c>
      <c r="D8" t="s">
        <v>7</v>
      </c>
      <c r="E8" t="s">
        <v>2</v>
      </c>
      <c r="F8" t="s">
        <v>11</v>
      </c>
      <c r="G8" t="s">
        <v>15</v>
      </c>
      <c r="H8">
        <f t="shared" si="0"/>
        <v>2026</v>
      </c>
      <c r="I8">
        <f t="shared" si="1"/>
        <v>5</v>
      </c>
      <c r="J8" t="str">
        <f t="shared" si="2"/>
        <v>May</v>
      </c>
      <c r="K8" t="str">
        <f t="shared" si="3"/>
        <v>OK</v>
      </c>
      <c r="L8" t="str">
        <f>IF(COUNTIF(A$2:A8,A8)&gt;1,"Duplicate","Unique")</f>
        <v>Unique</v>
      </c>
      <c r="M8" t="str">
        <f t="shared" si="4"/>
        <v>Ready</v>
      </c>
      <c r="N8" t="str">
        <f>clean_data!D127 &amp; " - " &amp; clean_data!C127</f>
        <v>Yaqshid - Theft</v>
      </c>
    </row>
    <row r="9" spans="1:16">
      <c r="A9" t="s">
        <v>349</v>
      </c>
      <c r="B9" s="1">
        <v>45850</v>
      </c>
      <c r="C9" t="s">
        <v>4</v>
      </c>
      <c r="D9" t="s">
        <v>33</v>
      </c>
      <c r="E9" t="s">
        <v>12</v>
      </c>
      <c r="F9" t="s">
        <v>1</v>
      </c>
      <c r="G9" t="s">
        <v>10</v>
      </c>
      <c r="H9">
        <f t="shared" si="0"/>
        <v>2025</v>
      </c>
      <c r="I9">
        <f t="shared" si="1"/>
        <v>7</v>
      </c>
      <c r="J9" t="str">
        <f t="shared" si="2"/>
        <v>July</v>
      </c>
      <c r="K9" t="str">
        <f t="shared" si="3"/>
        <v>OK</v>
      </c>
      <c r="L9" t="str">
        <f>IF(COUNTIF(A$2:A9,A9)&gt;1,"Duplicate","Unique")</f>
        <v>Unique</v>
      </c>
      <c r="M9" t="str">
        <f t="shared" si="4"/>
        <v>Ready</v>
      </c>
      <c r="N9" t="str">
        <f>clean_data!D133 &amp; " - " &amp; clean_data!C133</f>
        <v>Yaqshid - Fraud</v>
      </c>
    </row>
    <row r="10" spans="1:16">
      <c r="A10" t="s">
        <v>350</v>
      </c>
      <c r="B10" s="1">
        <v>46204</v>
      </c>
      <c r="C10" t="s">
        <v>27</v>
      </c>
      <c r="D10" t="s">
        <v>7</v>
      </c>
      <c r="E10" t="s">
        <v>2</v>
      </c>
      <c r="F10" t="s">
        <v>16</v>
      </c>
      <c r="G10" t="s">
        <v>15</v>
      </c>
      <c r="H10">
        <f t="shared" si="0"/>
        <v>2026</v>
      </c>
      <c r="I10">
        <f t="shared" si="1"/>
        <v>7</v>
      </c>
      <c r="J10" t="str">
        <f t="shared" si="2"/>
        <v>July</v>
      </c>
      <c r="K10" t="str">
        <f t="shared" si="3"/>
        <v>OK</v>
      </c>
      <c r="L10" t="str">
        <f>IF(COUNTIF(A$2:A10,A10)&gt;1,"Duplicate","Unique")</f>
        <v>Unique</v>
      </c>
      <c r="M10" t="str">
        <f t="shared" si="4"/>
        <v>Ready</v>
      </c>
      <c r="N10" t="str">
        <f>clean_data!D195 &amp; " - " &amp; clean_data!C195</f>
        <v>Waberi - Robbery</v>
      </c>
    </row>
    <row r="11" spans="1:16">
      <c r="A11" t="s">
        <v>351</v>
      </c>
      <c r="B11" s="1">
        <v>46063</v>
      </c>
      <c r="C11" t="s">
        <v>8</v>
      </c>
      <c r="D11" t="s">
        <v>33</v>
      </c>
      <c r="E11" t="s">
        <v>12</v>
      </c>
      <c r="F11" t="s">
        <v>11</v>
      </c>
      <c r="G11" t="s">
        <v>6</v>
      </c>
      <c r="H11">
        <f t="shared" si="0"/>
        <v>2026</v>
      </c>
      <c r="I11">
        <f t="shared" si="1"/>
        <v>2</v>
      </c>
      <c r="J11" t="str">
        <f t="shared" si="2"/>
        <v>February</v>
      </c>
      <c r="K11" t="str">
        <f t="shared" si="3"/>
        <v>OK</v>
      </c>
      <c r="L11" t="str">
        <f>IF(COUNTIF(A$2:A11,A11)&gt;1,"Duplicate","Unique")</f>
        <v>Unique</v>
      </c>
      <c r="M11" t="str">
        <f t="shared" si="4"/>
        <v>Ready</v>
      </c>
      <c r="N11" t="str">
        <f>clean_data!D215 &amp; " - " &amp; clean_data!C215</f>
        <v>Hodan - Theft</v>
      </c>
    </row>
    <row r="12" spans="1:16">
      <c r="A12" t="s">
        <v>352</v>
      </c>
      <c r="B12" s="1">
        <v>45748</v>
      </c>
      <c r="C12" t="s">
        <v>22</v>
      </c>
      <c r="D12" t="s">
        <v>13</v>
      </c>
      <c r="E12" t="s">
        <v>12</v>
      </c>
      <c r="F12" t="s">
        <v>11</v>
      </c>
      <c r="G12" t="s">
        <v>15</v>
      </c>
      <c r="H12">
        <f t="shared" si="0"/>
        <v>2025</v>
      </c>
      <c r="I12">
        <f t="shared" si="1"/>
        <v>4</v>
      </c>
      <c r="J12" t="str">
        <f t="shared" si="2"/>
        <v>April</v>
      </c>
      <c r="K12" t="str">
        <f t="shared" si="3"/>
        <v>OK</v>
      </c>
      <c r="L12" t="str">
        <f>IF(COUNTIF(A$2:A12,A12)&gt;1,"Duplicate","Unique")</f>
        <v>Unique</v>
      </c>
      <c r="M12" t="str">
        <f t="shared" si="4"/>
        <v>Ready</v>
      </c>
      <c r="N12" t="str">
        <f>clean_data!D226 &amp; " - " &amp; clean_data!C226</f>
        <v>Daynile - Traffic Offense</v>
      </c>
    </row>
    <row r="13" spans="1:16">
      <c r="A13" t="s">
        <v>353</v>
      </c>
      <c r="B13" s="1">
        <v>46161</v>
      </c>
      <c r="C13" t="s">
        <v>4</v>
      </c>
      <c r="D13" t="s">
        <v>3</v>
      </c>
      <c r="E13" t="s">
        <v>12</v>
      </c>
      <c r="F13" t="s">
        <v>16</v>
      </c>
      <c r="G13" t="s">
        <v>10</v>
      </c>
      <c r="H13">
        <f t="shared" si="0"/>
        <v>2026</v>
      </c>
      <c r="I13">
        <f t="shared" si="1"/>
        <v>5</v>
      </c>
      <c r="J13" t="str">
        <f t="shared" si="2"/>
        <v>May</v>
      </c>
      <c r="K13" t="str">
        <f t="shared" si="3"/>
        <v>OK</v>
      </c>
      <c r="L13" t="str">
        <f>IF(COUNTIF(A$2:A13,A13)&gt;1,"Duplicate","Unique")</f>
        <v>Unique</v>
      </c>
      <c r="M13" t="str">
        <f t="shared" si="4"/>
        <v>Ready</v>
      </c>
      <c r="N13" t="str">
        <f>clean_data!D242 &amp; " - " &amp; clean_data!C242</f>
        <v>Waberi - Robbery</v>
      </c>
    </row>
    <row r="14" spans="1:16">
      <c r="A14" t="s">
        <v>354</v>
      </c>
      <c r="B14" s="1">
        <v>46050</v>
      </c>
      <c r="C14" t="s">
        <v>27</v>
      </c>
      <c r="D14" t="s">
        <v>7</v>
      </c>
      <c r="E14" t="s">
        <v>2</v>
      </c>
      <c r="F14" t="s">
        <v>1</v>
      </c>
      <c r="G14" t="s">
        <v>15</v>
      </c>
      <c r="H14">
        <f t="shared" si="0"/>
        <v>2026</v>
      </c>
      <c r="I14">
        <f t="shared" si="1"/>
        <v>1</v>
      </c>
      <c r="J14" t="str">
        <f t="shared" si="2"/>
        <v>January</v>
      </c>
      <c r="K14" t="str">
        <f t="shared" si="3"/>
        <v>OK</v>
      </c>
      <c r="L14" t="str">
        <f>IF(COUNTIF(A$2:A14,A14)&gt;1,"Duplicate","Unique")</f>
        <v>Unique</v>
      </c>
      <c r="M14" t="str">
        <f t="shared" si="4"/>
        <v>Ready</v>
      </c>
      <c r="N14" t="str">
        <f>clean_data!D267 &amp; " - " &amp; clean_data!C267</f>
        <v>Hodan - Assault</v>
      </c>
    </row>
    <row r="15" spans="1:16">
      <c r="A15" t="s">
        <v>355</v>
      </c>
      <c r="B15" s="1">
        <v>45951</v>
      </c>
      <c r="C15" t="s">
        <v>31</v>
      </c>
      <c r="D15" t="s">
        <v>21</v>
      </c>
      <c r="E15" t="s">
        <v>2</v>
      </c>
      <c r="F15" t="s">
        <v>16</v>
      </c>
      <c r="G15" t="s">
        <v>15</v>
      </c>
      <c r="H15">
        <f t="shared" si="0"/>
        <v>2025</v>
      </c>
      <c r="I15">
        <f t="shared" si="1"/>
        <v>10</v>
      </c>
      <c r="J15" t="str">
        <f t="shared" si="2"/>
        <v>October</v>
      </c>
      <c r="K15" t="str">
        <f t="shared" si="3"/>
        <v>OK</v>
      </c>
      <c r="L15" t="str">
        <f>IF(COUNTIF(A$2:A15,A15)&gt;1,"Duplicate","Unique")</f>
        <v>Unique</v>
      </c>
      <c r="M15" t="str">
        <f t="shared" si="4"/>
        <v>Ready</v>
      </c>
      <c r="N15" t="str">
        <f>clean_data!D273 &amp; " - " &amp; clean_data!C273</f>
        <v>Daynile - Traffic Offense</v>
      </c>
    </row>
    <row r="16" spans="1:16">
      <c r="A16" t="s">
        <v>356</v>
      </c>
      <c r="B16" s="1">
        <v>45992</v>
      </c>
      <c r="C16" t="s">
        <v>31</v>
      </c>
      <c r="D16" t="s">
        <v>26</v>
      </c>
      <c r="E16" t="s">
        <v>2</v>
      </c>
      <c r="F16" t="s">
        <v>1</v>
      </c>
      <c r="G16" t="s">
        <v>15</v>
      </c>
      <c r="H16">
        <f t="shared" si="0"/>
        <v>2025</v>
      </c>
      <c r="I16">
        <f t="shared" si="1"/>
        <v>12</v>
      </c>
      <c r="J16" t="str">
        <f t="shared" si="2"/>
        <v>December</v>
      </c>
      <c r="K16" t="str">
        <f t="shared" si="3"/>
        <v>OK</v>
      </c>
      <c r="L16" t="str">
        <f>IF(COUNTIF(A$2:A16,A16)&gt;1,"Duplicate","Unique")</f>
        <v>Unique</v>
      </c>
      <c r="M16" t="str">
        <f t="shared" si="4"/>
        <v>Ready</v>
      </c>
      <c r="N16" t="str">
        <f>clean_data!D279 &amp; " - " &amp; clean_data!C279</f>
        <v>Yaqshid - Fraud</v>
      </c>
    </row>
    <row r="17" spans="1:14">
      <c r="A17" t="s">
        <v>202</v>
      </c>
      <c r="B17" s="1">
        <v>45912</v>
      </c>
      <c r="C17" t="s">
        <v>8</v>
      </c>
      <c r="D17" t="s">
        <v>7</v>
      </c>
      <c r="E17" t="s">
        <v>2</v>
      </c>
      <c r="F17" t="s">
        <v>1</v>
      </c>
      <c r="G17" t="str">
        <f>IF(G2="Unknown","High",G2)</f>
        <v>High</v>
      </c>
      <c r="H17">
        <f t="shared" si="0"/>
        <v>2025</v>
      </c>
      <c r="I17">
        <f t="shared" si="1"/>
        <v>9</v>
      </c>
      <c r="J17" t="str">
        <f t="shared" si="2"/>
        <v>September</v>
      </c>
      <c r="K17" t="str">
        <f t="shared" si="3"/>
        <v>OK</v>
      </c>
      <c r="L17" t="str">
        <f>IF(COUNTIF(A$2:A17,A17)&gt;1,"Duplicate","Unique")</f>
        <v>Unique</v>
      </c>
      <c r="M17" t="str">
        <f t="shared" si="4"/>
        <v>Ready</v>
      </c>
      <c r="N17" t="str">
        <f>clean_data!D113 &amp; " - " &amp; clean_data!C113</f>
        <v>Hodan - Assault</v>
      </c>
    </row>
    <row r="18" spans="1:14">
      <c r="A18" t="s">
        <v>264</v>
      </c>
      <c r="B18" s="1">
        <v>46176</v>
      </c>
      <c r="C18" t="s">
        <v>27</v>
      </c>
      <c r="D18" t="str">
        <f>IF(D2="Unknown","Hodan",D2)</f>
        <v>Waberi</v>
      </c>
      <c r="E18" t="s">
        <v>2</v>
      </c>
      <c r="F18" t="s">
        <v>11</v>
      </c>
      <c r="G18" t="s">
        <v>15</v>
      </c>
      <c r="H18">
        <f t="shared" si="0"/>
        <v>2026</v>
      </c>
      <c r="I18">
        <f t="shared" si="1"/>
        <v>6</v>
      </c>
      <c r="J18" t="str">
        <f t="shared" si="2"/>
        <v>June</v>
      </c>
      <c r="K18" t="str">
        <f t="shared" si="3"/>
        <v>OK</v>
      </c>
      <c r="L18" t="str">
        <f>IF(COUNTIF(A$2:A18,A18)&gt;1,"Duplicate","Unique")</f>
        <v>Unique</v>
      </c>
      <c r="M18" t="str">
        <f t="shared" si="4"/>
        <v>Ready</v>
      </c>
      <c r="N18" t="str">
        <f>clean_data!D48 &amp; " - " &amp; clean_data!C48</f>
        <v>Yaqshid - Theft</v>
      </c>
    </row>
    <row r="19" spans="1:14">
      <c r="A19" t="s">
        <v>306</v>
      </c>
      <c r="B19" s="1">
        <v>45714</v>
      </c>
      <c r="C19" t="s">
        <v>22</v>
      </c>
      <c r="D19" t="str">
        <f>IF(D3="Unknown","Hodan",D3)</f>
        <v>Hodan</v>
      </c>
      <c r="E19" t="s">
        <v>2</v>
      </c>
      <c r="F19" t="s">
        <v>1</v>
      </c>
      <c r="G19" t="s">
        <v>15</v>
      </c>
      <c r="H19">
        <f t="shared" si="0"/>
        <v>2025</v>
      </c>
      <c r="I19">
        <f t="shared" si="1"/>
        <v>2</v>
      </c>
      <c r="J19" t="str">
        <f t="shared" si="2"/>
        <v>February</v>
      </c>
      <c r="K19" t="str">
        <f t="shared" si="3"/>
        <v>OK</v>
      </c>
      <c r="L19" t="str">
        <f>IF(COUNTIF(A$2:A19,A19)&gt;1,"Duplicate","Unique")</f>
        <v>Unique</v>
      </c>
      <c r="M19" t="str">
        <f t="shared" si="4"/>
        <v>Ready</v>
      </c>
      <c r="N19" t="str">
        <f>clean_data!D3 &amp; " - " &amp; clean_data!C3</f>
        <v>Hodan - Robbery</v>
      </c>
    </row>
    <row r="20" spans="1:14">
      <c r="A20" t="s">
        <v>200</v>
      </c>
      <c r="B20" s="1">
        <v>46059</v>
      </c>
      <c r="C20" t="s">
        <v>31</v>
      </c>
      <c r="D20" t="s">
        <v>7</v>
      </c>
      <c r="E20" t="s">
        <v>2</v>
      </c>
      <c r="F20" t="str" cm="1">
        <f t="array" ref="F20">IF(F2="Unknown",INDEX(F$2:F$292,MODE(MATCH(F$2:F$292,F$2:F$292,0))),F2)</f>
        <v>Open</v>
      </c>
      <c r="G20" t="s">
        <v>15</v>
      </c>
      <c r="H20">
        <f t="shared" si="0"/>
        <v>2026</v>
      </c>
      <c r="I20">
        <f t="shared" si="1"/>
        <v>2</v>
      </c>
      <c r="J20" t="str">
        <f t="shared" si="2"/>
        <v>February</v>
      </c>
      <c r="K20" t="str">
        <f t="shared" si="3"/>
        <v>OK</v>
      </c>
      <c r="L20" t="str">
        <f>IF(COUNTIF(A$2:A20,A20)&gt;1,"Duplicate","Unique")</f>
        <v>Unique</v>
      </c>
      <c r="M20" t="str">
        <f t="shared" si="4"/>
        <v>Ready</v>
      </c>
      <c r="N20" t="str">
        <f>clean_data!D115 &amp; " - " &amp; clean_data!C115</f>
        <v>Karan - Theft</v>
      </c>
    </row>
    <row r="21" spans="1:14">
      <c r="A21" t="s">
        <v>45</v>
      </c>
      <c r="B21" s="1">
        <v>45983</v>
      </c>
      <c r="C21" t="s">
        <v>31</v>
      </c>
      <c r="D21" t="s">
        <v>21</v>
      </c>
      <c r="E21" t="s">
        <v>12</v>
      </c>
      <c r="F21" t="s">
        <v>1</v>
      </c>
      <c r="G21" t="s">
        <v>15</v>
      </c>
      <c r="H21">
        <f t="shared" si="0"/>
        <v>2025</v>
      </c>
      <c r="I21">
        <f t="shared" si="1"/>
        <v>11</v>
      </c>
      <c r="J21" t="str">
        <f t="shared" si="2"/>
        <v>November</v>
      </c>
      <c r="K21" t="str">
        <f t="shared" si="3"/>
        <v>OK</v>
      </c>
      <c r="L21" t="str">
        <f>IF(COUNTIF(A$2:A21,A21)&gt;1,"Duplicate","Unique")</f>
        <v>Unique</v>
      </c>
      <c r="M21" t="str">
        <f t="shared" si="4"/>
        <v>Ready</v>
      </c>
      <c r="N21" t="str">
        <f>clean_data!D230 &amp; " - " &amp; clean_data!C230</f>
        <v>Wadajir - Burglary</v>
      </c>
    </row>
    <row r="22" spans="1:14">
      <c r="A22" t="s">
        <v>98</v>
      </c>
      <c r="B22" s="1">
        <v>45736</v>
      </c>
      <c r="C22" t="s">
        <v>8</v>
      </c>
      <c r="D22" t="s">
        <v>33</v>
      </c>
      <c r="E22" t="s">
        <v>12</v>
      </c>
      <c r="F22" t="s">
        <v>11</v>
      </c>
      <c r="G22" t="s">
        <v>6</v>
      </c>
      <c r="H22">
        <f t="shared" si="0"/>
        <v>2025</v>
      </c>
      <c r="I22">
        <f t="shared" si="1"/>
        <v>3</v>
      </c>
      <c r="J22" t="str">
        <f t="shared" si="2"/>
        <v>March</v>
      </c>
      <c r="K22" t="str">
        <f t="shared" si="3"/>
        <v>OK</v>
      </c>
      <c r="L22" t="str">
        <f>IF(COUNTIF(A$2:A22,A22)&gt;1,"Duplicate","Unique")</f>
        <v>Unique</v>
      </c>
      <c r="M22" t="str">
        <f t="shared" si="4"/>
        <v>Ready</v>
      </c>
      <c r="N22" t="str">
        <f>clean_data!D218 &amp; " - " &amp; clean_data!C218</f>
        <v>Karan - Theft</v>
      </c>
    </row>
    <row r="23" spans="1:14">
      <c r="A23" t="s">
        <v>274</v>
      </c>
      <c r="B23" s="1">
        <v>45680</v>
      </c>
      <c r="C23" t="s">
        <v>31</v>
      </c>
      <c r="D23" t="s">
        <v>7</v>
      </c>
      <c r="E23" t="s">
        <v>315</v>
      </c>
      <c r="F23" t="s">
        <v>1</v>
      </c>
      <c r="G23" t="s">
        <v>15</v>
      </c>
      <c r="H23">
        <f t="shared" si="0"/>
        <v>2025</v>
      </c>
      <c r="I23">
        <f t="shared" si="1"/>
        <v>1</v>
      </c>
      <c r="J23" t="str">
        <f t="shared" si="2"/>
        <v>January</v>
      </c>
      <c r="K23" t="str">
        <f t="shared" si="3"/>
        <v>Needs Review</v>
      </c>
      <c r="L23" t="str">
        <f>IF(COUNTIF(A$2:A23,A23)&gt;1,"Duplicate","Unique")</f>
        <v>Unique</v>
      </c>
      <c r="M23" t="str">
        <f t="shared" si="4"/>
        <v>Review</v>
      </c>
      <c r="N23" t="str">
        <f>clean_data!D36 &amp; " - " &amp; clean_data!C36</f>
        <v>Karan - Theft</v>
      </c>
    </row>
    <row r="24" spans="1:14">
      <c r="A24" t="s">
        <v>175</v>
      </c>
      <c r="B24" s="1">
        <v>45882</v>
      </c>
      <c r="C24" t="str" cm="1">
        <f t="array" ref="C24">IF(C2="Unknown",INDEX(C$2:C$292,MODE(MATCH(C$2:C$292,C$2:C$292,0))),C2)</f>
        <v>Assault</v>
      </c>
      <c r="D24" t="s">
        <v>33</v>
      </c>
      <c r="E24" t="s">
        <v>30</v>
      </c>
      <c r="F24" t="s">
        <v>1</v>
      </c>
      <c r="G24" t="s">
        <v>6</v>
      </c>
      <c r="H24">
        <f t="shared" si="0"/>
        <v>2025</v>
      </c>
      <c r="I24">
        <f t="shared" si="1"/>
        <v>8</v>
      </c>
      <c r="J24" t="str">
        <f t="shared" si="2"/>
        <v>August</v>
      </c>
      <c r="K24" t="str">
        <f t="shared" si="3"/>
        <v>Needs Review</v>
      </c>
      <c r="L24" t="str">
        <f>IF(COUNTIF(A$2:A24,A24)&gt;1,"Duplicate","Unique")</f>
        <v>Unique</v>
      </c>
      <c r="M24" t="str">
        <f t="shared" si="4"/>
        <v>Review</v>
      </c>
      <c r="N24" t="str">
        <f>clean_data!D142 &amp; " - " &amp; clean_data!C142</f>
        <v>Yaqshid - Theft</v>
      </c>
    </row>
    <row r="25" spans="1:14">
      <c r="A25" t="s">
        <v>111</v>
      </c>
      <c r="B25" s="1">
        <v>45933</v>
      </c>
      <c r="C25" t="s">
        <v>8</v>
      </c>
      <c r="D25" t="s">
        <v>26</v>
      </c>
      <c r="E25" t="s">
        <v>315</v>
      </c>
      <c r="F25" t="s">
        <v>11</v>
      </c>
      <c r="G25" t="s">
        <v>6</v>
      </c>
      <c r="H25">
        <f t="shared" si="0"/>
        <v>2025</v>
      </c>
      <c r="I25">
        <f t="shared" si="1"/>
        <v>10</v>
      </c>
      <c r="J25" t="str">
        <f t="shared" si="2"/>
        <v>October</v>
      </c>
      <c r="K25" t="str">
        <f t="shared" si="3"/>
        <v>Needs Review</v>
      </c>
      <c r="L25" t="str">
        <f>IF(COUNTIF(A$2:A25,A25)&gt;1,"Duplicate","Unique")</f>
        <v>Unique</v>
      </c>
      <c r="M25" t="str">
        <f t="shared" si="4"/>
        <v>Review</v>
      </c>
      <c r="N25" t="str">
        <f>clean_data!D205 &amp; " - " &amp; clean_data!C205</f>
        <v>Waberi - Assault</v>
      </c>
    </row>
    <row r="26" spans="1:14">
      <c r="A26" t="s">
        <v>94</v>
      </c>
      <c r="B26" s="1">
        <v>45945</v>
      </c>
      <c r="C26" t="s">
        <v>4</v>
      </c>
      <c r="D26" t="s">
        <v>33</v>
      </c>
      <c r="E26" t="s">
        <v>2</v>
      </c>
      <c r="F26" t="s">
        <v>1</v>
      </c>
      <c r="G26" t="s">
        <v>10</v>
      </c>
      <c r="H26">
        <f t="shared" si="0"/>
        <v>2025</v>
      </c>
      <c r="I26">
        <f t="shared" si="1"/>
        <v>10</v>
      </c>
      <c r="J26" t="str">
        <f t="shared" si="2"/>
        <v>October</v>
      </c>
      <c r="K26" t="str">
        <f t="shared" si="3"/>
        <v>OK</v>
      </c>
      <c r="L26" t="str">
        <f>IF(COUNTIF(A$2:A26,A26)&gt;1,"Duplicate","Unique")</f>
        <v>Unique</v>
      </c>
      <c r="M26" t="str">
        <f t="shared" si="4"/>
        <v>Ready</v>
      </c>
      <c r="N26" t="str">
        <f>clean_data!D221 &amp; " - " &amp; clean_data!C221</f>
        <v>Yaqshid - Theft</v>
      </c>
    </row>
    <row r="27" spans="1:14">
      <c r="A27" t="s">
        <v>238</v>
      </c>
      <c r="B27" s="1">
        <v>45825</v>
      </c>
      <c r="C27" t="s">
        <v>36</v>
      </c>
      <c r="D27" t="s">
        <v>3</v>
      </c>
      <c r="E27" t="s">
        <v>2</v>
      </c>
      <c r="F27" t="s">
        <v>16</v>
      </c>
      <c r="G27" t="s">
        <v>6</v>
      </c>
      <c r="H27">
        <f t="shared" si="0"/>
        <v>2025</v>
      </c>
      <c r="I27">
        <f t="shared" si="1"/>
        <v>6</v>
      </c>
      <c r="J27" t="str">
        <f t="shared" si="2"/>
        <v>June</v>
      </c>
      <c r="K27" t="str">
        <f t="shared" si="3"/>
        <v>OK</v>
      </c>
      <c r="L27" t="str">
        <f>IF(COUNTIF(A$2:A27,A27)&gt;1,"Duplicate","Unique")</f>
        <v>Unique</v>
      </c>
      <c r="M27" t="str">
        <f t="shared" si="4"/>
        <v>Ready</v>
      </c>
      <c r="N27" t="str">
        <f>clean_data!D76 &amp; " - " &amp; clean_data!C76</f>
        <v>Daynile - Assault</v>
      </c>
    </row>
    <row r="28" spans="1:14">
      <c r="A28" t="s">
        <v>128</v>
      </c>
      <c r="B28" s="1">
        <v>45915</v>
      </c>
      <c r="C28" t="s">
        <v>22</v>
      </c>
      <c r="D28" t="s">
        <v>26</v>
      </c>
      <c r="E28" t="s">
        <v>2</v>
      </c>
      <c r="F28" t="s">
        <v>11</v>
      </c>
      <c r="G28" t="s">
        <v>15</v>
      </c>
      <c r="H28">
        <f t="shared" si="0"/>
        <v>2025</v>
      </c>
      <c r="I28">
        <f t="shared" si="1"/>
        <v>9</v>
      </c>
      <c r="J28" t="str">
        <f t="shared" si="2"/>
        <v>September</v>
      </c>
      <c r="K28" t="str">
        <f t="shared" si="3"/>
        <v>OK</v>
      </c>
      <c r="L28" t="str">
        <f>IF(COUNTIF(A$2:A28,A28)&gt;1,"Duplicate","Unique")</f>
        <v>Unique</v>
      </c>
      <c r="M28" t="str">
        <f t="shared" si="4"/>
        <v>Ready</v>
      </c>
      <c r="N28" t="str">
        <f>clean_data!D189 &amp; " - " &amp; clean_data!C189</f>
        <v>Waberi - Assault</v>
      </c>
    </row>
    <row r="29" spans="1:14">
      <c r="A29" t="s">
        <v>249</v>
      </c>
      <c r="B29" s="1">
        <v>45844</v>
      </c>
      <c r="C29" t="s">
        <v>27</v>
      </c>
      <c r="D29" t="s">
        <v>7</v>
      </c>
      <c r="E29" t="s">
        <v>12</v>
      </c>
      <c r="F29" t="s">
        <v>1</v>
      </c>
      <c r="G29" t="s">
        <v>15</v>
      </c>
      <c r="H29">
        <f t="shared" si="0"/>
        <v>2025</v>
      </c>
      <c r="I29">
        <f t="shared" si="1"/>
        <v>7</v>
      </c>
      <c r="J29" t="str">
        <f t="shared" si="2"/>
        <v>July</v>
      </c>
      <c r="K29" t="str">
        <f t="shared" si="3"/>
        <v>OK</v>
      </c>
      <c r="L29" t="str">
        <f>IF(COUNTIF(A$2:A29,A29)&gt;1,"Duplicate","Unique")</f>
        <v>Unique</v>
      </c>
      <c r="M29" t="str">
        <f t="shared" si="4"/>
        <v>Ready</v>
      </c>
      <c r="N29" t="str">
        <f>clean_data!D64 &amp; " - " &amp; clean_data!C64</f>
        <v>Daynile - Theft</v>
      </c>
    </row>
    <row r="30" spans="1:14">
      <c r="A30" t="s">
        <v>23</v>
      </c>
      <c r="B30" s="1">
        <v>46005</v>
      </c>
      <c r="C30" t="s">
        <v>22</v>
      </c>
      <c r="D30" t="s">
        <v>21</v>
      </c>
      <c r="E30" t="s">
        <v>2</v>
      </c>
      <c r="F30" t="str" cm="1">
        <f t="array" ref="F30">IF(F12="Unknown",INDEX(F$2:F$292,MODE(MATCH(F$2:F$292,F$2:F$292,0))),F12)</f>
        <v>Under Investigation</v>
      </c>
      <c r="G30" t="s">
        <v>15</v>
      </c>
      <c r="H30">
        <f t="shared" si="0"/>
        <v>2025</v>
      </c>
      <c r="I30">
        <f t="shared" si="1"/>
        <v>12</v>
      </c>
      <c r="J30" t="str">
        <f t="shared" si="2"/>
        <v>December</v>
      </c>
      <c r="K30" t="str">
        <f t="shared" si="3"/>
        <v>OK</v>
      </c>
      <c r="L30" t="str">
        <f>IF(COUNTIF(A$2:A30,A30)&gt;1,"Duplicate","Unique")</f>
        <v>Unique</v>
      </c>
      <c r="M30" t="str">
        <f t="shared" si="4"/>
        <v>Ready</v>
      </c>
      <c r="N30" t="str">
        <f>clean_data!D286 &amp; " - " &amp; clean_data!C286</f>
        <v>Hodan - Theft</v>
      </c>
    </row>
    <row r="31" spans="1:14">
      <c r="A31" t="s">
        <v>283</v>
      </c>
      <c r="B31" s="1">
        <f>IF(B2="Unknown",MEDIAN($B$2:$B$292),B2)</f>
        <v>46215</v>
      </c>
      <c r="C31" t="s">
        <v>8</v>
      </c>
      <c r="D31" t="s">
        <v>33</v>
      </c>
      <c r="E31" t="s">
        <v>2</v>
      </c>
      <c r="F31" t="s">
        <v>1</v>
      </c>
      <c r="G31" t="s">
        <v>6</v>
      </c>
      <c r="H31">
        <f t="shared" si="0"/>
        <v>2026</v>
      </c>
      <c r="I31">
        <f t="shared" si="1"/>
        <v>7</v>
      </c>
      <c r="J31" t="str">
        <f t="shared" si="2"/>
        <v>July</v>
      </c>
      <c r="K31" t="str">
        <f t="shared" si="3"/>
        <v>OK</v>
      </c>
      <c r="L31" t="str">
        <f>IF(COUNTIF(A$2:A31,A31)&gt;1,"Duplicate","Unique")</f>
        <v>Unique</v>
      </c>
      <c r="M31" t="str">
        <f t="shared" si="4"/>
        <v>Ready</v>
      </c>
      <c r="N31" t="str">
        <f>clean_data!D27 &amp; " - " &amp; clean_data!C27</f>
        <v>Hodan - Assault</v>
      </c>
    </row>
    <row r="32" spans="1:14">
      <c r="A32" t="s">
        <v>28</v>
      </c>
      <c r="B32" s="1">
        <f>IF(B2="Unknown",MEDIAN($B$2:$B$292),B2)</f>
        <v>46215</v>
      </c>
      <c r="C32" t="s">
        <v>27</v>
      </c>
      <c r="D32" t="s">
        <v>26</v>
      </c>
      <c r="E32" t="s">
        <v>2</v>
      </c>
      <c r="F32" t="s">
        <v>1</v>
      </c>
      <c r="G32" t="s">
        <v>15</v>
      </c>
      <c r="H32">
        <f t="shared" si="0"/>
        <v>2026</v>
      </c>
      <c r="I32">
        <f t="shared" si="1"/>
        <v>7</v>
      </c>
      <c r="J32" t="str">
        <f t="shared" si="2"/>
        <v>July</v>
      </c>
      <c r="K32" t="str">
        <f t="shared" si="3"/>
        <v>OK</v>
      </c>
      <c r="L32" t="str">
        <f>IF(COUNTIF(A$2:A32,A32)&gt;1,"Duplicate","Unique")</f>
        <v>Unique</v>
      </c>
      <c r="M32" t="str">
        <f t="shared" si="4"/>
        <v>Ready</v>
      </c>
      <c r="N32" t="str">
        <f>clean_data!D283 &amp; " - " &amp; clean_data!C283</f>
        <v>Waberi - Robbery</v>
      </c>
    </row>
    <row r="33" spans="1:14">
      <c r="A33" t="s">
        <v>246</v>
      </c>
      <c r="B33" s="1">
        <v>46037</v>
      </c>
      <c r="C33" t="s">
        <v>27</v>
      </c>
      <c r="D33" t="s">
        <v>3</v>
      </c>
      <c r="E33" t="s">
        <v>2</v>
      </c>
      <c r="F33" t="s">
        <v>11</v>
      </c>
      <c r="G33" t="s">
        <v>15</v>
      </c>
      <c r="H33">
        <f t="shared" si="0"/>
        <v>2026</v>
      </c>
      <c r="I33">
        <f t="shared" si="1"/>
        <v>1</v>
      </c>
      <c r="J33" t="str">
        <f t="shared" si="2"/>
        <v>January</v>
      </c>
      <c r="K33" t="str">
        <f t="shared" si="3"/>
        <v>OK</v>
      </c>
      <c r="L33" t="str">
        <f>IF(COUNTIF(A$2:A33,A33)&gt;1,"Duplicate","Unique")</f>
        <v>Unique</v>
      </c>
      <c r="M33" t="str">
        <f t="shared" si="4"/>
        <v>Ready</v>
      </c>
      <c r="N33" t="str">
        <f>clean_data!D67 &amp; " - " &amp; clean_data!C67</f>
        <v>Karan - Robbery</v>
      </c>
    </row>
    <row r="34" spans="1:14">
      <c r="A34" t="s">
        <v>34</v>
      </c>
      <c r="B34" s="1">
        <v>46162</v>
      </c>
      <c r="C34" t="s">
        <v>27</v>
      </c>
      <c r="D34" t="s">
        <v>33</v>
      </c>
      <c r="E34" t="s">
        <v>2</v>
      </c>
      <c r="F34" t="s">
        <v>1</v>
      </c>
      <c r="G34" t="s">
        <v>15</v>
      </c>
      <c r="H34">
        <f t="shared" si="0"/>
        <v>2026</v>
      </c>
      <c r="I34">
        <f t="shared" si="1"/>
        <v>5</v>
      </c>
      <c r="J34" t="str">
        <f t="shared" si="2"/>
        <v>May</v>
      </c>
      <c r="K34" t="str">
        <f t="shared" si="3"/>
        <v>OK</v>
      </c>
      <c r="L34" t="str">
        <f>IF(COUNTIF(A$2:A34,A34)&gt;1,"Duplicate","Unique")</f>
        <v>Unique</v>
      </c>
      <c r="M34" t="str">
        <f t="shared" si="4"/>
        <v>Ready</v>
      </c>
      <c r="N34" t="str">
        <f>clean_data!D281 &amp; " - " &amp; clean_data!C281</f>
        <v>Daynile - Theft</v>
      </c>
    </row>
    <row r="35" spans="1:14">
      <c r="A35" t="s">
        <v>136</v>
      </c>
      <c r="B35" s="1">
        <v>45877</v>
      </c>
      <c r="C35" t="s">
        <v>27</v>
      </c>
      <c r="D35" t="s">
        <v>3</v>
      </c>
      <c r="E35" t="s">
        <v>2</v>
      </c>
      <c r="F35" t="s">
        <v>1</v>
      </c>
      <c r="G35" t="s">
        <v>15</v>
      </c>
      <c r="H35">
        <f t="shared" si="0"/>
        <v>2025</v>
      </c>
      <c r="I35">
        <f t="shared" si="1"/>
        <v>8</v>
      </c>
      <c r="J35" t="str">
        <f t="shared" si="2"/>
        <v>August</v>
      </c>
      <c r="K35" t="str">
        <f t="shared" si="3"/>
        <v>OK</v>
      </c>
      <c r="L35" t="str">
        <f>IF(COUNTIF(A$2:A35,A35)&gt;1,"Duplicate","Unique")</f>
        <v>Unique</v>
      </c>
      <c r="M35" t="str">
        <f t="shared" si="4"/>
        <v>Ready</v>
      </c>
      <c r="N35" t="str">
        <f>clean_data!D180 &amp; " - " &amp; clean_data!C180</f>
        <v>Wadajir - Assault</v>
      </c>
    </row>
    <row r="36" spans="1:14">
      <c r="A36" t="s">
        <v>185</v>
      </c>
      <c r="B36" s="1">
        <v>45915</v>
      </c>
      <c r="C36" t="s">
        <v>27</v>
      </c>
      <c r="D36" t="s">
        <v>21</v>
      </c>
      <c r="E36" t="s">
        <v>2</v>
      </c>
      <c r="F36" t="s">
        <v>16</v>
      </c>
      <c r="G36" t="s">
        <v>15</v>
      </c>
      <c r="H36">
        <f t="shared" si="0"/>
        <v>2025</v>
      </c>
      <c r="I36">
        <f t="shared" si="1"/>
        <v>9</v>
      </c>
      <c r="J36" t="str">
        <f t="shared" si="2"/>
        <v>September</v>
      </c>
      <c r="K36" t="str">
        <f t="shared" si="3"/>
        <v>OK</v>
      </c>
      <c r="L36" t="str">
        <f>IF(COUNTIF(A$2:A36,A36)&gt;1,"Duplicate","Unique")</f>
        <v>Unique</v>
      </c>
      <c r="M36" t="str">
        <f t="shared" si="4"/>
        <v>Ready</v>
      </c>
      <c r="N36" t="str">
        <f>clean_data!D131 &amp; " - " &amp; clean_data!C131</f>
        <v>Karan - Assault</v>
      </c>
    </row>
    <row r="37" spans="1:14">
      <c r="A37" t="s">
        <v>125</v>
      </c>
      <c r="B37" s="1">
        <v>46120</v>
      </c>
      <c r="C37" t="str" cm="1">
        <f t="array" ref="C37">IF(C2="Unknown",INDEX(C$2:C$292,MODE(MATCH(C$2:C$292,C$2:C$292,0))),C2)</f>
        <v>Assault</v>
      </c>
      <c r="D37" t="s">
        <v>3</v>
      </c>
      <c r="E37" t="s">
        <v>30</v>
      </c>
      <c r="F37" t="s">
        <v>1</v>
      </c>
      <c r="G37" t="s">
        <v>10</v>
      </c>
      <c r="H37">
        <f t="shared" si="0"/>
        <v>2026</v>
      </c>
      <c r="I37">
        <f t="shared" si="1"/>
        <v>4</v>
      </c>
      <c r="J37" t="str">
        <f t="shared" si="2"/>
        <v>April</v>
      </c>
      <c r="K37" t="str">
        <f t="shared" si="3"/>
        <v>Needs Review</v>
      </c>
      <c r="L37" t="str">
        <f>IF(COUNTIF(A$2:A37,A37)&gt;1,"Duplicate","Unique")</f>
        <v>Unique</v>
      </c>
      <c r="M37" t="str">
        <f t="shared" si="4"/>
        <v>Review</v>
      </c>
      <c r="N37" t="str">
        <f>clean_data!D192 &amp; " - " &amp; clean_data!C192</f>
        <v>Karan - Theft</v>
      </c>
    </row>
    <row r="38" spans="1:14">
      <c r="A38" t="s">
        <v>127</v>
      </c>
      <c r="B38" s="1">
        <f>IF(B2="Unknown",MEDIAN($B$2:$B$292),B2)</f>
        <v>46215</v>
      </c>
      <c r="C38" t="s">
        <v>36</v>
      </c>
      <c r="D38" t="s">
        <v>21</v>
      </c>
      <c r="E38" t="s">
        <v>2</v>
      </c>
      <c r="F38" t="s">
        <v>1</v>
      </c>
      <c r="G38" t="s">
        <v>6</v>
      </c>
      <c r="H38">
        <f t="shared" si="0"/>
        <v>2026</v>
      </c>
      <c r="I38">
        <f t="shared" si="1"/>
        <v>7</v>
      </c>
      <c r="J38" t="str">
        <f t="shared" si="2"/>
        <v>July</v>
      </c>
      <c r="K38" t="str">
        <f t="shared" si="3"/>
        <v>OK</v>
      </c>
      <c r="L38" t="str">
        <f>IF(COUNTIF(A$2:A38,A38)&gt;1,"Duplicate","Unique")</f>
        <v>Unique</v>
      </c>
      <c r="M38" t="str">
        <f t="shared" si="4"/>
        <v>Ready</v>
      </c>
      <c r="N38" t="str">
        <f>clean_data!D190 &amp; " - " &amp; clean_data!C190</f>
        <v>Hodan - Assault</v>
      </c>
    </row>
    <row r="39" spans="1:14">
      <c r="A39" t="s">
        <v>159</v>
      </c>
      <c r="B39" s="1">
        <v>46058</v>
      </c>
      <c r="C39" t="s">
        <v>27</v>
      </c>
      <c r="D39" t="s">
        <v>7</v>
      </c>
      <c r="E39" t="s">
        <v>12</v>
      </c>
      <c r="F39" t="str" cm="1">
        <f t="array" ref="F39">IF(F21="Unknown",INDEX(F$2:F$292,MODE(MATCH(F$2:F$292,F$2:F$292,0))),F21)</f>
        <v>Closed</v>
      </c>
      <c r="G39" t="s">
        <v>15</v>
      </c>
      <c r="H39">
        <f t="shared" si="0"/>
        <v>2026</v>
      </c>
      <c r="I39">
        <f t="shared" si="1"/>
        <v>2</v>
      </c>
      <c r="J39" t="str">
        <f t="shared" si="2"/>
        <v>February</v>
      </c>
      <c r="K39" t="str">
        <f t="shared" si="3"/>
        <v>OK</v>
      </c>
      <c r="L39" t="str">
        <f>IF(COUNTIF(A$2:A39,A39)&gt;1,"Duplicate","Unique")</f>
        <v>Unique</v>
      </c>
      <c r="M39" t="str">
        <f t="shared" si="4"/>
        <v>Ready</v>
      </c>
      <c r="N39" t="str">
        <f>clean_data!D158 &amp; " - " &amp; clean_data!C158</f>
        <v>Hodan - Assault</v>
      </c>
    </row>
    <row r="40" spans="1:14">
      <c r="A40" t="s">
        <v>122</v>
      </c>
      <c r="B40" s="1">
        <v>45950</v>
      </c>
      <c r="C40" t="s">
        <v>8</v>
      </c>
      <c r="D40" t="s">
        <v>7</v>
      </c>
      <c r="E40" t="s">
        <v>2</v>
      </c>
      <c r="F40" t="s">
        <v>1</v>
      </c>
      <c r="G40" t="s">
        <v>6</v>
      </c>
      <c r="H40">
        <f t="shared" si="0"/>
        <v>2025</v>
      </c>
      <c r="I40">
        <f t="shared" si="1"/>
        <v>10</v>
      </c>
      <c r="J40" t="str">
        <f t="shared" si="2"/>
        <v>October</v>
      </c>
      <c r="K40" t="str">
        <f t="shared" si="3"/>
        <v>OK</v>
      </c>
      <c r="L40" t="str">
        <f>IF(COUNTIF(A$2:A40,A40)&gt;1,"Duplicate","Unique")</f>
        <v>Unique</v>
      </c>
      <c r="M40" t="str">
        <f t="shared" si="4"/>
        <v>Ready</v>
      </c>
      <c r="N40" t="str">
        <f>clean_data!D196 &amp; " - " &amp; clean_data!C196</f>
        <v>Waberi - Theft</v>
      </c>
    </row>
    <row r="41" spans="1:14">
      <c r="A41" t="s">
        <v>92</v>
      </c>
      <c r="B41" s="1">
        <v>46043</v>
      </c>
      <c r="C41" t="s">
        <v>36</v>
      </c>
      <c r="D41" t="s">
        <v>21</v>
      </c>
      <c r="E41" t="s">
        <v>2</v>
      </c>
      <c r="F41" t="s">
        <v>47</v>
      </c>
      <c r="G41" t="s">
        <v>6</v>
      </c>
      <c r="H41">
        <f t="shared" si="0"/>
        <v>2026</v>
      </c>
      <c r="I41">
        <f t="shared" si="1"/>
        <v>1</v>
      </c>
      <c r="J41" t="str">
        <f t="shared" si="2"/>
        <v>January</v>
      </c>
      <c r="K41" t="str">
        <f t="shared" si="3"/>
        <v>OK</v>
      </c>
      <c r="L41" t="str">
        <f>IF(COUNTIF(A$2:A41,A41)&gt;1,"Duplicate","Unique")</f>
        <v>Unique</v>
      </c>
      <c r="M41" t="str">
        <f t="shared" si="4"/>
        <v>Ready</v>
      </c>
      <c r="N41" t="str">
        <f>clean_data!D223 &amp; " - " &amp; clean_data!C223</f>
        <v>Hodan - Theft</v>
      </c>
    </row>
    <row r="42" spans="1:14">
      <c r="A42" t="s">
        <v>109</v>
      </c>
      <c r="B42" s="1">
        <f>IF(B2="Unknown",MEDIAN($B$2:$B$292),B2)</f>
        <v>46215</v>
      </c>
      <c r="C42" t="s">
        <v>36</v>
      </c>
      <c r="D42" t="s">
        <v>3</v>
      </c>
      <c r="E42" t="s">
        <v>30</v>
      </c>
      <c r="F42" t="s">
        <v>11</v>
      </c>
      <c r="G42" t="s">
        <v>6</v>
      </c>
      <c r="H42">
        <f t="shared" si="0"/>
        <v>2026</v>
      </c>
      <c r="I42">
        <f t="shared" si="1"/>
        <v>7</v>
      </c>
      <c r="J42" t="str">
        <f t="shared" si="2"/>
        <v>July</v>
      </c>
      <c r="K42" t="str">
        <f t="shared" si="3"/>
        <v>Needs Review</v>
      </c>
      <c r="L42" t="str">
        <f>IF(COUNTIF(A$2:A42,A42)&gt;1,"Duplicate","Unique")</f>
        <v>Unique</v>
      </c>
      <c r="M42" t="str">
        <f t="shared" si="4"/>
        <v>Review</v>
      </c>
      <c r="N42" t="str">
        <f>clean_data!D207 &amp; " - " &amp; clean_data!C207</f>
        <v>Wadajir - Theft</v>
      </c>
    </row>
    <row r="43" spans="1:14">
      <c r="A43" t="s">
        <v>116</v>
      </c>
      <c r="B43" s="1">
        <v>45781</v>
      </c>
      <c r="C43" t="s">
        <v>31</v>
      </c>
      <c r="D43" t="str">
        <f>IF(D27="Unknown","Hodan",D27)</f>
        <v>Hodan</v>
      </c>
      <c r="E43" t="s">
        <v>2</v>
      </c>
      <c r="F43" t="s">
        <v>1</v>
      </c>
      <c r="G43" t="s">
        <v>15</v>
      </c>
      <c r="H43">
        <f t="shared" si="0"/>
        <v>2025</v>
      </c>
      <c r="I43">
        <f t="shared" si="1"/>
        <v>5</v>
      </c>
      <c r="J43" t="str">
        <f t="shared" si="2"/>
        <v>May</v>
      </c>
      <c r="K43" t="str">
        <f t="shared" si="3"/>
        <v>OK</v>
      </c>
      <c r="L43" t="str">
        <f>IF(COUNTIF(A$2:A43,A43)&gt;1,"Duplicate","Unique")</f>
        <v>Unique</v>
      </c>
      <c r="M43" t="str">
        <f t="shared" si="4"/>
        <v>Ready</v>
      </c>
      <c r="N43" t="str">
        <f>clean_data!D201 &amp; " - " &amp; clean_data!C201</f>
        <v>Hodan - Assault</v>
      </c>
    </row>
    <row r="44" spans="1:14">
      <c r="A44" t="s">
        <v>302</v>
      </c>
      <c r="B44" s="1">
        <v>45705</v>
      </c>
      <c r="C44" t="s">
        <v>31</v>
      </c>
      <c r="D44" t="s">
        <v>7</v>
      </c>
      <c r="E44" t="s">
        <v>2</v>
      </c>
      <c r="F44" t="s">
        <v>11</v>
      </c>
      <c r="G44" t="s">
        <v>15</v>
      </c>
      <c r="H44">
        <f t="shared" si="0"/>
        <v>2025</v>
      </c>
      <c r="I44">
        <f t="shared" si="1"/>
        <v>2</v>
      </c>
      <c r="J44" t="str">
        <f t="shared" si="2"/>
        <v>February</v>
      </c>
      <c r="K44" t="str">
        <f t="shared" si="3"/>
        <v>OK</v>
      </c>
      <c r="L44" t="str">
        <f>IF(COUNTIF(A$2:A44,A44)&gt;1,"Duplicate","Unique")</f>
        <v>Unique</v>
      </c>
      <c r="M44" t="str">
        <f t="shared" si="4"/>
        <v>Ready</v>
      </c>
      <c r="N44" t="str">
        <f>clean_data!D7 &amp; " - " &amp; clean_data!C7</f>
        <v>Daynile - Robbery</v>
      </c>
    </row>
    <row r="45" spans="1:14">
      <c r="A45" t="s">
        <v>203</v>
      </c>
      <c r="B45" s="1">
        <v>45775</v>
      </c>
      <c r="C45" t="s">
        <v>22</v>
      </c>
      <c r="D45" t="s">
        <v>3</v>
      </c>
      <c r="E45" t="s">
        <v>2</v>
      </c>
      <c r="F45" t="s">
        <v>1</v>
      </c>
      <c r="G45" t="s">
        <v>15</v>
      </c>
      <c r="H45">
        <f t="shared" si="0"/>
        <v>2025</v>
      </c>
      <c r="I45">
        <f t="shared" si="1"/>
        <v>4</v>
      </c>
      <c r="J45" t="str">
        <f t="shared" si="2"/>
        <v>April</v>
      </c>
      <c r="K45" t="str">
        <f t="shared" si="3"/>
        <v>OK</v>
      </c>
      <c r="L45" t="str">
        <f>IF(COUNTIF(A$2:A45,A45)&gt;1,"Duplicate","Unique")</f>
        <v>Unique</v>
      </c>
      <c r="M45" t="str">
        <f t="shared" si="4"/>
        <v>Ready</v>
      </c>
      <c r="N45" t="str">
        <f>clean_data!D112 &amp; " - " &amp; clean_data!C112</f>
        <v>Karan - Burglary</v>
      </c>
    </row>
    <row r="46" spans="1:14">
      <c r="A46" t="s">
        <v>139</v>
      </c>
      <c r="B46" s="1">
        <v>45664</v>
      </c>
      <c r="C46" t="s">
        <v>22</v>
      </c>
      <c r="D46" t="s">
        <v>3</v>
      </c>
      <c r="E46" t="s">
        <v>12</v>
      </c>
      <c r="F46" t="s">
        <v>16</v>
      </c>
      <c r="G46" t="s">
        <v>15</v>
      </c>
      <c r="H46">
        <f t="shared" si="0"/>
        <v>2025</v>
      </c>
      <c r="I46">
        <f t="shared" si="1"/>
        <v>1</v>
      </c>
      <c r="J46" t="str">
        <f t="shared" si="2"/>
        <v>January</v>
      </c>
      <c r="K46" t="str">
        <f t="shared" si="3"/>
        <v>OK</v>
      </c>
      <c r="L46" t="str">
        <f>IF(COUNTIF(A$2:A46,A46)&gt;1,"Duplicate","Unique")</f>
        <v>Unique</v>
      </c>
      <c r="M46" t="str">
        <f t="shared" si="4"/>
        <v>Ready</v>
      </c>
      <c r="N46" t="str">
        <f>clean_data!D177 &amp; " - " &amp; clean_data!C177</f>
        <v>Karan - Traffic Offense</v>
      </c>
    </row>
    <row r="47" spans="1:14">
      <c r="A47" t="s">
        <v>291</v>
      </c>
      <c r="B47" s="1">
        <v>46042</v>
      </c>
      <c r="C47" t="s">
        <v>36</v>
      </c>
      <c r="D47" t="s">
        <v>7</v>
      </c>
      <c r="E47" t="s">
        <v>12</v>
      </c>
      <c r="F47" t="s">
        <v>1</v>
      </c>
      <c r="G47" t="str">
        <f>IF(G32="Unknown","High",G32)</f>
        <v>Medium</v>
      </c>
      <c r="H47">
        <f t="shared" si="0"/>
        <v>2026</v>
      </c>
      <c r="I47">
        <f t="shared" si="1"/>
        <v>1</v>
      </c>
      <c r="J47" t="str">
        <f t="shared" si="2"/>
        <v>January</v>
      </c>
      <c r="K47" t="str">
        <f t="shared" si="3"/>
        <v>OK</v>
      </c>
      <c r="L47" t="str">
        <f>IF(COUNTIF(A$2:A47,A47)&gt;1,"Duplicate","Unique")</f>
        <v>Unique</v>
      </c>
      <c r="M47" t="str">
        <f t="shared" si="4"/>
        <v>Ready</v>
      </c>
      <c r="N47" t="str">
        <f>clean_data!D19 &amp; " - " &amp; clean_data!C19</f>
        <v>Hodan - Burglary</v>
      </c>
    </row>
    <row r="48" spans="1:14">
      <c r="A48" t="s">
        <v>81</v>
      </c>
      <c r="B48" s="1">
        <v>45715</v>
      </c>
      <c r="C48" t="s">
        <v>27</v>
      </c>
      <c r="D48" t="str">
        <f>IF(D32="Unknown","Hodan",D32)</f>
        <v>Yaqshid</v>
      </c>
      <c r="E48" t="s">
        <v>2</v>
      </c>
      <c r="F48" t="s">
        <v>47</v>
      </c>
      <c r="G48" t="s">
        <v>15</v>
      </c>
      <c r="H48">
        <f t="shared" si="0"/>
        <v>2025</v>
      </c>
      <c r="I48">
        <f t="shared" si="1"/>
        <v>2</v>
      </c>
      <c r="J48" t="str">
        <f t="shared" si="2"/>
        <v>February</v>
      </c>
      <c r="K48" t="str">
        <f t="shared" si="3"/>
        <v>OK</v>
      </c>
      <c r="L48" t="str">
        <f>IF(COUNTIF(A$2:A48,A48)&gt;1,"Duplicate","Unique")</f>
        <v>Unique</v>
      </c>
      <c r="M48" t="str">
        <f t="shared" si="4"/>
        <v>Ready</v>
      </c>
      <c r="N48" t="str">
        <f>clean_data!D234 &amp; " - " &amp; clean_data!C234</f>
        <v>Hodan - Fraud</v>
      </c>
    </row>
    <row r="49" spans="1:14">
      <c r="A49" t="s">
        <v>212</v>
      </c>
      <c r="B49" s="1">
        <v>45871</v>
      </c>
      <c r="C49" t="s">
        <v>27</v>
      </c>
      <c r="D49" t="s">
        <v>13</v>
      </c>
      <c r="E49" t="s">
        <v>2</v>
      </c>
      <c r="F49" t="s">
        <v>16</v>
      </c>
      <c r="G49" t="s">
        <v>15</v>
      </c>
      <c r="H49">
        <f t="shared" si="0"/>
        <v>2025</v>
      </c>
      <c r="I49">
        <f t="shared" si="1"/>
        <v>8</v>
      </c>
      <c r="J49" t="str">
        <f t="shared" si="2"/>
        <v>August</v>
      </c>
      <c r="K49" t="str">
        <f t="shared" si="3"/>
        <v>OK</v>
      </c>
      <c r="L49" t="str">
        <f>IF(COUNTIF(A$2:A49,A49)&gt;1,"Duplicate","Unique")</f>
        <v>Unique</v>
      </c>
      <c r="M49" t="str">
        <f t="shared" si="4"/>
        <v>Ready</v>
      </c>
      <c r="N49" t="str">
        <f>clean_data!D101 &amp; " - " &amp; clean_data!C101</f>
        <v>Karan - Robbery</v>
      </c>
    </row>
    <row r="50" spans="1:14">
      <c r="A50" t="s">
        <v>132</v>
      </c>
      <c r="B50" s="1">
        <v>46178</v>
      </c>
      <c r="C50" t="s">
        <v>8</v>
      </c>
      <c r="D50" t="s">
        <v>21</v>
      </c>
      <c r="E50" t="s">
        <v>2</v>
      </c>
      <c r="F50" t="s">
        <v>11</v>
      </c>
      <c r="G50" t="s">
        <v>6</v>
      </c>
      <c r="H50">
        <f t="shared" si="0"/>
        <v>2026</v>
      </c>
      <c r="I50">
        <f t="shared" si="1"/>
        <v>6</v>
      </c>
      <c r="J50" t="str">
        <f t="shared" si="2"/>
        <v>June</v>
      </c>
      <c r="K50" t="str">
        <f t="shared" si="3"/>
        <v>OK</v>
      </c>
      <c r="L50" t="str">
        <f>IF(COUNTIF(A$2:A50,A50)&gt;1,"Duplicate","Unique")</f>
        <v>Unique</v>
      </c>
      <c r="M50" t="str">
        <f t="shared" si="4"/>
        <v>Ready</v>
      </c>
      <c r="N50" t="str">
        <f>clean_data!D184 &amp; " - " &amp; clean_data!C184</f>
        <v>Daynile - Theft</v>
      </c>
    </row>
    <row r="51" spans="1:14">
      <c r="A51" t="s">
        <v>269</v>
      </c>
      <c r="B51" s="1">
        <f>IF(B2="Unknown",MEDIAN($B$2:$B$292),B2)</f>
        <v>46215</v>
      </c>
      <c r="C51" t="s">
        <v>36</v>
      </c>
      <c r="D51" t="s">
        <v>7</v>
      </c>
      <c r="E51" t="s">
        <v>2</v>
      </c>
      <c r="F51" t="s">
        <v>1</v>
      </c>
      <c r="G51" t="s">
        <v>6</v>
      </c>
      <c r="H51">
        <f t="shared" si="0"/>
        <v>2026</v>
      </c>
      <c r="I51">
        <f t="shared" si="1"/>
        <v>7</v>
      </c>
      <c r="J51" t="str">
        <f t="shared" si="2"/>
        <v>July</v>
      </c>
      <c r="K51" t="str">
        <f t="shared" si="3"/>
        <v>OK</v>
      </c>
      <c r="L51" t="str">
        <f>IF(COUNTIF(A$2:A51,A51)&gt;1,"Duplicate","Unique")</f>
        <v>Unique</v>
      </c>
      <c r="M51" t="str">
        <f t="shared" si="4"/>
        <v>Ready</v>
      </c>
      <c r="N51" t="str">
        <f>clean_data!D42 &amp; " - " &amp; clean_data!C42</f>
        <v>Hodan - Assault</v>
      </c>
    </row>
    <row r="52" spans="1:14">
      <c r="A52" t="s">
        <v>61</v>
      </c>
      <c r="B52" s="1">
        <v>46149</v>
      </c>
      <c r="C52" t="s">
        <v>27</v>
      </c>
      <c r="D52" t="s">
        <v>7</v>
      </c>
      <c r="E52" t="s">
        <v>2</v>
      </c>
      <c r="F52" t="s">
        <v>11</v>
      </c>
      <c r="G52" t="s">
        <v>15</v>
      </c>
      <c r="H52">
        <f t="shared" si="0"/>
        <v>2026</v>
      </c>
      <c r="I52">
        <f t="shared" si="1"/>
        <v>5</v>
      </c>
      <c r="J52" t="str">
        <f t="shared" si="2"/>
        <v>May</v>
      </c>
      <c r="K52" t="str">
        <f t="shared" si="3"/>
        <v>OK</v>
      </c>
      <c r="L52" t="str">
        <f>IF(COUNTIF(A$2:A52,A52)&gt;1,"Duplicate","Unique")</f>
        <v>Unique</v>
      </c>
      <c r="M52" t="str">
        <f t="shared" si="4"/>
        <v>Ready</v>
      </c>
      <c r="N52" t="str">
        <f>clean_data!D255 &amp; " - " &amp; clean_data!C255</f>
        <v>Karan - Theft</v>
      </c>
    </row>
    <row r="53" spans="1:14">
      <c r="A53" t="s">
        <v>192</v>
      </c>
      <c r="B53" s="1">
        <f>IF(B2="Unknown",MEDIAN($B$2:$B$292),B2)</f>
        <v>46215</v>
      </c>
      <c r="C53" t="s">
        <v>27</v>
      </c>
      <c r="D53" t="s">
        <v>13</v>
      </c>
      <c r="E53" t="s">
        <v>2</v>
      </c>
      <c r="F53" t="s">
        <v>16</v>
      </c>
      <c r="G53" t="s">
        <v>15</v>
      </c>
      <c r="H53">
        <f t="shared" si="0"/>
        <v>2026</v>
      </c>
      <c r="I53">
        <f t="shared" si="1"/>
        <v>7</v>
      </c>
      <c r="J53" t="str">
        <f t="shared" si="2"/>
        <v>July</v>
      </c>
      <c r="K53" t="str">
        <f t="shared" si="3"/>
        <v>OK</v>
      </c>
      <c r="L53" t="str">
        <f>IF(COUNTIF(A$2:A53,A53)&gt;1,"Duplicate","Unique")</f>
        <v>Unique</v>
      </c>
      <c r="M53" t="str">
        <f t="shared" si="4"/>
        <v>Ready</v>
      </c>
      <c r="N53" t="str">
        <f>clean_data!D124 &amp; " - " &amp; clean_data!C124</f>
        <v>Daynile - Fraud</v>
      </c>
    </row>
    <row r="54" spans="1:14">
      <c r="A54" t="s">
        <v>91</v>
      </c>
      <c r="B54" s="1">
        <v>46056</v>
      </c>
      <c r="C54" t="s">
        <v>31</v>
      </c>
      <c r="D54" t="s">
        <v>7</v>
      </c>
      <c r="E54" t="s">
        <v>2</v>
      </c>
      <c r="F54" t="s">
        <v>16</v>
      </c>
      <c r="G54" t="s">
        <v>15</v>
      </c>
      <c r="H54">
        <f t="shared" si="0"/>
        <v>2026</v>
      </c>
      <c r="I54">
        <f t="shared" si="1"/>
        <v>2</v>
      </c>
      <c r="J54" t="str">
        <f t="shared" si="2"/>
        <v>February</v>
      </c>
      <c r="K54" t="str">
        <f t="shared" si="3"/>
        <v>OK</v>
      </c>
      <c r="L54" t="str">
        <f>IF(COUNTIF(A$2:A54,A54)&gt;1,"Duplicate","Unique")</f>
        <v>Unique</v>
      </c>
      <c r="M54" t="str">
        <f t="shared" si="4"/>
        <v>Ready</v>
      </c>
      <c r="N54" t="str">
        <f>clean_data!D224 &amp; " - " &amp; clean_data!C224</f>
        <v>Yaqshid - Traffic Offense</v>
      </c>
    </row>
    <row r="55" spans="1:14">
      <c r="A55" t="s">
        <v>271</v>
      </c>
      <c r="B55" s="1">
        <f>IF(B2="Unknown",MEDIAN($B$2:$B$292),B2)</f>
        <v>46215</v>
      </c>
      <c r="C55" t="str" cm="1">
        <f t="array" ref="C55">IF(C33="Unknown",INDEX(C$2:C$292,MODE(MATCH(C$2:C$292,C$2:C$292,0))),C33)</f>
        <v>Theft</v>
      </c>
      <c r="D55" t="s">
        <v>21</v>
      </c>
      <c r="E55" t="s">
        <v>2</v>
      </c>
      <c r="F55" t="s">
        <v>16</v>
      </c>
      <c r="G55" t="s">
        <v>6</v>
      </c>
      <c r="H55">
        <f t="shared" si="0"/>
        <v>2026</v>
      </c>
      <c r="I55">
        <f t="shared" si="1"/>
        <v>7</v>
      </c>
      <c r="J55" t="str">
        <f t="shared" si="2"/>
        <v>July</v>
      </c>
      <c r="K55" t="str">
        <f t="shared" si="3"/>
        <v>OK</v>
      </c>
      <c r="L55" t="str">
        <f>IF(COUNTIF(A$2:A55,A55)&gt;1,"Duplicate","Unique")</f>
        <v>Unique</v>
      </c>
      <c r="M55" t="str">
        <f t="shared" si="4"/>
        <v>Ready</v>
      </c>
      <c r="N55" t="str">
        <f>clean_data!D40 &amp; " - " &amp; clean_data!C40</f>
        <v>Wadajir - Robbery</v>
      </c>
    </row>
    <row r="56" spans="1:14">
      <c r="A56" t="s">
        <v>104</v>
      </c>
      <c r="B56" s="1">
        <v>46035</v>
      </c>
      <c r="C56" t="s">
        <v>31</v>
      </c>
      <c r="D56" t="s">
        <v>3</v>
      </c>
      <c r="E56" t="s">
        <v>12</v>
      </c>
      <c r="F56" t="s">
        <v>1</v>
      </c>
      <c r="G56" t="s">
        <v>15</v>
      </c>
      <c r="H56">
        <f t="shared" si="0"/>
        <v>2026</v>
      </c>
      <c r="I56">
        <f t="shared" si="1"/>
        <v>1</v>
      </c>
      <c r="J56" t="str">
        <f t="shared" si="2"/>
        <v>January</v>
      </c>
      <c r="K56" t="str">
        <f t="shared" si="3"/>
        <v>OK</v>
      </c>
      <c r="L56" t="str">
        <f>IF(COUNTIF(A$2:A56,A56)&gt;1,"Duplicate","Unique")</f>
        <v>Unique</v>
      </c>
      <c r="M56" t="str">
        <f t="shared" si="4"/>
        <v>Ready</v>
      </c>
      <c r="N56" t="str">
        <f>clean_data!D212 &amp; " - " &amp; clean_data!C212</f>
        <v>Wadajir - Robbery</v>
      </c>
    </row>
    <row r="57" spans="1:14">
      <c r="A57" t="s">
        <v>280</v>
      </c>
      <c r="B57" s="1">
        <v>46136</v>
      </c>
      <c r="C57" t="s">
        <v>36</v>
      </c>
      <c r="D57" t="s">
        <v>3</v>
      </c>
      <c r="E57" t="s">
        <v>30</v>
      </c>
      <c r="F57" t="s">
        <v>1</v>
      </c>
      <c r="G57" t="s">
        <v>6</v>
      </c>
      <c r="H57">
        <f t="shared" si="0"/>
        <v>2026</v>
      </c>
      <c r="I57">
        <f t="shared" si="1"/>
        <v>4</v>
      </c>
      <c r="J57" t="str">
        <f t="shared" si="2"/>
        <v>April</v>
      </c>
      <c r="K57" t="str">
        <f t="shared" si="3"/>
        <v>Needs Review</v>
      </c>
      <c r="L57" t="str">
        <f>IF(COUNTIF(A$2:A57,A57)&gt;1,"Duplicate","Unique")</f>
        <v>Unique</v>
      </c>
      <c r="M57" t="str">
        <f t="shared" si="4"/>
        <v>Review</v>
      </c>
      <c r="N57" t="str">
        <f>clean_data!D30 &amp; " - " &amp; clean_data!C30</f>
        <v>Karan - Burglary</v>
      </c>
    </row>
    <row r="58" spans="1:14">
      <c r="A58" t="s">
        <v>288</v>
      </c>
      <c r="B58" s="1">
        <v>46068</v>
      </c>
      <c r="C58" t="s">
        <v>8</v>
      </c>
      <c r="D58" t="s">
        <v>3</v>
      </c>
      <c r="E58" t="s">
        <v>12</v>
      </c>
      <c r="F58" t="s">
        <v>1</v>
      </c>
      <c r="G58" t="s">
        <v>6</v>
      </c>
      <c r="H58">
        <f t="shared" si="0"/>
        <v>2026</v>
      </c>
      <c r="I58">
        <f t="shared" si="1"/>
        <v>2</v>
      </c>
      <c r="J58" t="str">
        <f t="shared" si="2"/>
        <v>February</v>
      </c>
      <c r="K58" t="str">
        <f t="shared" si="3"/>
        <v>OK</v>
      </c>
      <c r="L58" t="str">
        <f>IF(COUNTIF(A$2:A58,A58)&gt;1,"Duplicate","Unique")</f>
        <v>Unique</v>
      </c>
      <c r="M58" t="str">
        <f t="shared" si="4"/>
        <v>Ready</v>
      </c>
      <c r="N58" t="str">
        <f>clean_data!D22 &amp; " - " &amp; clean_data!C22</f>
        <v>Daynile - Robbery</v>
      </c>
    </row>
    <row r="59" spans="1:14">
      <c r="A59" t="s">
        <v>218</v>
      </c>
      <c r="B59" s="1">
        <v>45679</v>
      </c>
      <c r="C59" t="s">
        <v>4</v>
      </c>
      <c r="D59" t="s">
        <v>3</v>
      </c>
      <c r="E59" t="s">
        <v>12</v>
      </c>
      <c r="F59" t="s">
        <v>1</v>
      </c>
      <c r="G59" t="s">
        <v>10</v>
      </c>
      <c r="H59">
        <f t="shared" si="0"/>
        <v>2025</v>
      </c>
      <c r="I59">
        <f t="shared" si="1"/>
        <v>1</v>
      </c>
      <c r="J59" t="str">
        <f t="shared" si="2"/>
        <v>January</v>
      </c>
      <c r="K59" t="str">
        <f t="shared" si="3"/>
        <v>OK</v>
      </c>
      <c r="L59" t="str">
        <f>IF(COUNTIF(A$2:A59,A59)&gt;1,"Duplicate","Unique")</f>
        <v>Unique</v>
      </c>
      <c r="M59" t="str">
        <f t="shared" si="4"/>
        <v>Ready</v>
      </c>
      <c r="N59" t="str">
        <f>clean_data!D95 &amp; " - " &amp; clean_data!C95</f>
        <v>Daynile - Assault</v>
      </c>
    </row>
    <row r="60" spans="1:14">
      <c r="A60" t="s">
        <v>93</v>
      </c>
      <c r="B60" s="1">
        <v>46050</v>
      </c>
      <c r="C60" t="s">
        <v>36</v>
      </c>
      <c r="D60" t="s">
        <v>33</v>
      </c>
      <c r="E60" t="s">
        <v>2</v>
      </c>
      <c r="F60" t="s">
        <v>11</v>
      </c>
      <c r="G60" t="s">
        <v>6</v>
      </c>
      <c r="H60">
        <f t="shared" si="0"/>
        <v>2026</v>
      </c>
      <c r="I60">
        <f t="shared" si="1"/>
        <v>1</v>
      </c>
      <c r="J60" t="str">
        <f t="shared" si="2"/>
        <v>January</v>
      </c>
      <c r="K60" t="str">
        <f t="shared" si="3"/>
        <v>OK</v>
      </c>
      <c r="L60" t="str">
        <f>IF(COUNTIF(A$2:A60,A60)&gt;1,"Duplicate","Unique")</f>
        <v>Unique</v>
      </c>
      <c r="M60" t="str">
        <f t="shared" si="4"/>
        <v>Ready</v>
      </c>
      <c r="N60" t="str">
        <f>clean_data!D222 &amp; " - " &amp; clean_data!C222</f>
        <v>Hodan - Theft</v>
      </c>
    </row>
    <row r="61" spans="1:14">
      <c r="A61" t="s">
        <v>75</v>
      </c>
      <c r="B61" s="1">
        <v>45860</v>
      </c>
      <c r="C61" t="s">
        <v>22</v>
      </c>
      <c r="D61" t="s">
        <v>7</v>
      </c>
      <c r="E61" t="s">
        <v>12</v>
      </c>
      <c r="F61" t="s">
        <v>11</v>
      </c>
      <c r="G61" t="s">
        <v>15</v>
      </c>
      <c r="H61">
        <f t="shared" si="0"/>
        <v>2025</v>
      </c>
      <c r="I61">
        <f t="shared" si="1"/>
        <v>7</v>
      </c>
      <c r="J61" t="str">
        <f t="shared" si="2"/>
        <v>July</v>
      </c>
      <c r="K61" t="str">
        <f t="shared" si="3"/>
        <v>OK</v>
      </c>
      <c r="L61" t="str">
        <f>IF(COUNTIF(A$2:A61,A61)&gt;1,"Duplicate","Unique")</f>
        <v>Unique</v>
      </c>
      <c r="M61" t="str">
        <f t="shared" si="4"/>
        <v>Ready</v>
      </c>
      <c r="N61" t="str">
        <f>clean_data!D240 &amp; " - " &amp; clean_data!C240</f>
        <v>Waberi - Traffic Offense</v>
      </c>
    </row>
    <row r="62" spans="1:14">
      <c r="A62" t="s">
        <v>205</v>
      </c>
      <c r="B62" s="1">
        <v>45764</v>
      </c>
      <c r="C62" t="s">
        <v>8</v>
      </c>
      <c r="D62" t="s">
        <v>26</v>
      </c>
      <c r="E62" t="s">
        <v>2</v>
      </c>
      <c r="F62" t="s">
        <v>1</v>
      </c>
      <c r="G62" t="s">
        <v>6</v>
      </c>
      <c r="H62">
        <f t="shared" si="0"/>
        <v>2025</v>
      </c>
      <c r="I62">
        <f t="shared" si="1"/>
        <v>4</v>
      </c>
      <c r="J62" t="str">
        <f t="shared" si="2"/>
        <v>April</v>
      </c>
      <c r="K62" t="str">
        <f t="shared" si="3"/>
        <v>OK</v>
      </c>
      <c r="L62" t="str">
        <f>IF(COUNTIF(A$2:A62,A62)&gt;1,"Duplicate","Unique")</f>
        <v>Unique</v>
      </c>
      <c r="M62" t="str">
        <f t="shared" si="4"/>
        <v>Ready</v>
      </c>
      <c r="N62" t="str">
        <f>clean_data!D108 &amp; " - " &amp; clean_data!C108</f>
        <v>Wadajir - Burglary</v>
      </c>
    </row>
    <row r="63" spans="1:14">
      <c r="A63" t="s">
        <v>131</v>
      </c>
      <c r="B63" s="1">
        <v>45772</v>
      </c>
      <c r="C63" t="s">
        <v>27</v>
      </c>
      <c r="D63" t="s">
        <v>7</v>
      </c>
      <c r="E63" t="s">
        <v>2</v>
      </c>
      <c r="F63" t="s">
        <v>1</v>
      </c>
      <c r="G63" t="s">
        <v>15</v>
      </c>
      <c r="H63">
        <f t="shared" si="0"/>
        <v>2025</v>
      </c>
      <c r="I63">
        <f t="shared" si="1"/>
        <v>4</v>
      </c>
      <c r="J63" t="str">
        <f t="shared" si="2"/>
        <v>April</v>
      </c>
      <c r="K63" t="str">
        <f t="shared" si="3"/>
        <v>OK</v>
      </c>
      <c r="L63" t="str">
        <f>IF(COUNTIF(A$2:A63,A63)&gt;1,"Duplicate","Unique")</f>
        <v>Unique</v>
      </c>
      <c r="M63" t="str">
        <f t="shared" si="4"/>
        <v>Ready</v>
      </c>
      <c r="N63" t="str">
        <f>clean_data!D185 &amp; " - " &amp; clean_data!C185</f>
        <v>Hodan - Fraud</v>
      </c>
    </row>
    <row r="64" spans="1:14">
      <c r="A64" t="s">
        <v>295</v>
      </c>
      <c r="B64" s="1">
        <v>46178</v>
      </c>
      <c r="C64" t="s">
        <v>27</v>
      </c>
      <c r="D64" t="s">
        <v>33</v>
      </c>
      <c r="E64" t="s">
        <v>2</v>
      </c>
      <c r="F64" t="s">
        <v>16</v>
      </c>
      <c r="G64" t="s">
        <v>15</v>
      </c>
      <c r="H64">
        <f t="shared" si="0"/>
        <v>2026</v>
      </c>
      <c r="I64">
        <f t="shared" si="1"/>
        <v>6</v>
      </c>
      <c r="J64" t="str">
        <f t="shared" si="2"/>
        <v>June</v>
      </c>
      <c r="K64" t="str">
        <f t="shared" si="3"/>
        <v>OK</v>
      </c>
      <c r="L64" t="str">
        <f>IF(COUNTIF(A$2:A64,A64)&gt;1,"Duplicate","Unique")</f>
        <v>Unique</v>
      </c>
      <c r="M64" t="str">
        <f t="shared" si="4"/>
        <v>Ready</v>
      </c>
      <c r="N64" t="str">
        <f>clean_data!D15 &amp; " - " &amp; clean_data!C15</f>
        <v>Karan - Fraud</v>
      </c>
    </row>
    <row r="65" spans="1:14">
      <c r="A65" t="s">
        <v>303</v>
      </c>
      <c r="B65" s="1">
        <v>46080</v>
      </c>
      <c r="C65" t="s">
        <v>36</v>
      </c>
      <c r="D65" t="s">
        <v>3</v>
      </c>
      <c r="E65" t="s">
        <v>12</v>
      </c>
      <c r="F65" t="s">
        <v>11</v>
      </c>
      <c r="G65" t="s">
        <v>6</v>
      </c>
      <c r="H65">
        <f t="shared" si="0"/>
        <v>2026</v>
      </c>
      <c r="I65">
        <f t="shared" si="1"/>
        <v>2</v>
      </c>
      <c r="J65" t="str">
        <f t="shared" si="2"/>
        <v>February</v>
      </c>
      <c r="K65" t="str">
        <f t="shared" si="3"/>
        <v>OK</v>
      </c>
      <c r="L65" t="str">
        <f>IF(COUNTIF(A$2:A65,A65)&gt;1,"Duplicate","Unique")</f>
        <v>Unique</v>
      </c>
      <c r="M65" t="str">
        <f t="shared" si="4"/>
        <v>Ready</v>
      </c>
      <c r="N65" t="str">
        <f>clean_data!D6 &amp; " - " &amp; clean_data!C6</f>
        <v>Daynile - Assault</v>
      </c>
    </row>
    <row r="66" spans="1:14">
      <c r="A66" t="s">
        <v>215</v>
      </c>
      <c r="B66" s="1">
        <v>45719</v>
      </c>
      <c r="C66" t="s">
        <v>4</v>
      </c>
      <c r="D66" t="s">
        <v>3</v>
      </c>
      <c r="E66" t="s">
        <v>12</v>
      </c>
      <c r="F66" t="s">
        <v>11</v>
      </c>
      <c r="G66" t="str">
        <f>IF(G51="Unknown","High",G51)</f>
        <v>High</v>
      </c>
      <c r="H66">
        <f t="shared" ref="H66:H129" si="5">IF(B66="","",YEAR(B66))</f>
        <v>2025</v>
      </c>
      <c r="I66">
        <f t="shared" ref="I66:I129" si="6">IF(B66="","",MONTH(B66))</f>
        <v>3</v>
      </c>
      <c r="J66" t="str">
        <f t="shared" ref="J66:J129" si="7">IF(B66="","",TEXT(B66,"mmmm"))</f>
        <v>March</v>
      </c>
      <c r="K66" t="str">
        <f t="shared" ref="K66:K129" si="8">IF(COUNTBLANK(A66:G66)+COUNTIF(A66:G66,"Unknown")+COUNTIF(A66:G66,"-")&gt;0,"Needs Review","OK")</f>
        <v>OK</v>
      </c>
      <c r="L66" t="str">
        <f>IF(COUNTIF(A$2:A66,A66)&gt;1,"Duplicate","Unique")</f>
        <v>Unique</v>
      </c>
      <c r="M66" t="str">
        <f t="shared" ref="M66:M129" si="9">IF(OR(K66="Needs Review",L66="Duplicate"),"Review","Ready")</f>
        <v>Ready</v>
      </c>
      <c r="N66" t="str">
        <f>clean_data!D98 &amp; " - " &amp; clean_data!C98</f>
        <v>Wadajir - Theft</v>
      </c>
    </row>
    <row r="67" spans="1:14">
      <c r="A67" t="s">
        <v>204</v>
      </c>
      <c r="B67" s="1">
        <v>46144</v>
      </c>
      <c r="C67" t="s">
        <v>8</v>
      </c>
      <c r="D67" t="s">
        <v>21</v>
      </c>
      <c r="E67" t="s">
        <v>12</v>
      </c>
      <c r="F67" t="s">
        <v>1</v>
      </c>
      <c r="G67" t="s">
        <v>6</v>
      </c>
      <c r="H67">
        <f t="shared" si="5"/>
        <v>2026</v>
      </c>
      <c r="I67">
        <f t="shared" si="6"/>
        <v>5</v>
      </c>
      <c r="J67" t="str">
        <f t="shared" si="7"/>
        <v>May</v>
      </c>
      <c r="K67" t="str">
        <f t="shared" si="8"/>
        <v>OK</v>
      </c>
      <c r="L67" t="str">
        <f>IF(COUNTIF(A$2:A67,A67)&gt;1,"Duplicate","Unique")</f>
        <v>Unique</v>
      </c>
      <c r="M67" t="str">
        <f t="shared" si="9"/>
        <v>Ready</v>
      </c>
      <c r="N67" t="str">
        <f>clean_data!D110 &amp; " - " &amp; clean_data!C110</f>
        <v>Daynile - Fraud</v>
      </c>
    </row>
    <row r="68" spans="1:14">
      <c r="A68" t="s">
        <v>241</v>
      </c>
      <c r="B68" s="1">
        <v>46092</v>
      </c>
      <c r="C68" t="s">
        <v>27</v>
      </c>
      <c r="D68" t="s">
        <v>7</v>
      </c>
      <c r="E68" t="s">
        <v>12</v>
      </c>
      <c r="F68" t="s">
        <v>1</v>
      </c>
      <c r="G68" t="s">
        <v>15</v>
      </c>
      <c r="H68">
        <f t="shared" si="5"/>
        <v>2026</v>
      </c>
      <c r="I68">
        <f t="shared" si="6"/>
        <v>3</v>
      </c>
      <c r="J68" t="str">
        <f t="shared" si="7"/>
        <v>March</v>
      </c>
      <c r="K68" t="str">
        <f t="shared" si="8"/>
        <v>OK</v>
      </c>
      <c r="L68" t="str">
        <f>IF(COUNTIF(A$2:A68,A68)&gt;1,"Duplicate","Unique")</f>
        <v>Unique</v>
      </c>
      <c r="M68" t="str">
        <f t="shared" si="9"/>
        <v>Ready</v>
      </c>
      <c r="N68" t="str">
        <f>clean_data!D72 &amp; " - " &amp; clean_data!C72</f>
        <v>Hodan - Assault</v>
      </c>
    </row>
    <row r="69" spans="1:14">
      <c r="A69" t="s">
        <v>273</v>
      </c>
      <c r="B69" s="1">
        <v>45761</v>
      </c>
      <c r="C69" t="s">
        <v>4</v>
      </c>
      <c r="D69" t="s">
        <v>13</v>
      </c>
      <c r="E69" t="s">
        <v>2</v>
      </c>
      <c r="F69" t="s">
        <v>16</v>
      </c>
      <c r="G69" t="s">
        <v>10</v>
      </c>
      <c r="H69">
        <f t="shared" si="5"/>
        <v>2025</v>
      </c>
      <c r="I69">
        <f t="shared" si="6"/>
        <v>4</v>
      </c>
      <c r="J69" t="str">
        <f t="shared" si="7"/>
        <v>April</v>
      </c>
      <c r="K69" t="str">
        <f t="shared" si="8"/>
        <v>OK</v>
      </c>
      <c r="L69" t="str">
        <f>IF(COUNTIF(A$2:A69,A69)&gt;1,"Duplicate","Unique")</f>
        <v>Unique</v>
      </c>
      <c r="M69" t="str">
        <f t="shared" si="9"/>
        <v>Ready</v>
      </c>
      <c r="N69" t="str">
        <f>clean_data!D37 &amp; " - " &amp; clean_data!C37</f>
        <v>Hodan - Assault</v>
      </c>
    </row>
    <row r="70" spans="1:14">
      <c r="A70" t="s">
        <v>144</v>
      </c>
      <c r="B70" s="1">
        <v>45944</v>
      </c>
      <c r="C70" t="s">
        <v>36</v>
      </c>
      <c r="D70" t="s">
        <v>7</v>
      </c>
      <c r="E70" t="s">
        <v>2</v>
      </c>
      <c r="F70" t="s">
        <v>1</v>
      </c>
      <c r="G70" t="str">
        <f>IF(G55="Unknown","High",G55)</f>
        <v>High</v>
      </c>
      <c r="H70">
        <f t="shared" si="5"/>
        <v>2025</v>
      </c>
      <c r="I70">
        <f t="shared" si="6"/>
        <v>10</v>
      </c>
      <c r="J70" t="str">
        <f t="shared" si="7"/>
        <v>October</v>
      </c>
      <c r="K70" t="str">
        <f t="shared" si="8"/>
        <v>OK</v>
      </c>
      <c r="L70" t="str">
        <f>IF(COUNTIF(A$2:A70,A70)&gt;1,"Duplicate","Unique")</f>
        <v>Unique</v>
      </c>
      <c r="M70" t="str">
        <f t="shared" si="9"/>
        <v>Ready</v>
      </c>
      <c r="N70" t="str">
        <f>clean_data!D172 &amp; " - " &amp; clean_data!C172</f>
        <v>Karan - Burglary</v>
      </c>
    </row>
    <row r="71" spans="1:14">
      <c r="A71" t="s">
        <v>184</v>
      </c>
      <c r="B71" s="1">
        <v>45743</v>
      </c>
      <c r="C71" t="str" cm="1">
        <f t="array" ref="C71">IF(C2="Unknown",INDEX(C$2:C$292,MODE(MATCH(C$2:C$292,C$2:C$292,0))),C2)</f>
        <v>Assault</v>
      </c>
      <c r="D71" t="s">
        <v>26</v>
      </c>
      <c r="E71" t="s">
        <v>2</v>
      </c>
      <c r="F71" t="s">
        <v>1</v>
      </c>
      <c r="G71" t="s">
        <v>6</v>
      </c>
      <c r="H71">
        <f t="shared" si="5"/>
        <v>2025</v>
      </c>
      <c r="I71">
        <f t="shared" si="6"/>
        <v>3</v>
      </c>
      <c r="J71" t="str">
        <f t="shared" si="7"/>
        <v>March</v>
      </c>
      <c r="K71" t="str">
        <f t="shared" si="8"/>
        <v>OK</v>
      </c>
      <c r="L71" t="str">
        <f>IF(COUNTIF(A$2:A71,A71)&gt;1,"Duplicate","Unique")</f>
        <v>Unique</v>
      </c>
      <c r="M71" t="str">
        <f t="shared" si="9"/>
        <v>Ready</v>
      </c>
      <c r="N71" t="str">
        <f>clean_data!D132 &amp; " - " &amp; clean_data!C132</f>
        <v>Hodan - Assault</v>
      </c>
    </row>
    <row r="72" spans="1:14">
      <c r="A72" t="s">
        <v>68</v>
      </c>
      <c r="B72" s="1">
        <v>46055</v>
      </c>
      <c r="C72" t="s">
        <v>36</v>
      </c>
      <c r="D72" t="s">
        <v>3</v>
      </c>
      <c r="E72" t="s">
        <v>2</v>
      </c>
      <c r="F72" t="s">
        <v>1</v>
      </c>
      <c r="G72" t="s">
        <v>6</v>
      </c>
      <c r="H72">
        <f t="shared" si="5"/>
        <v>2026</v>
      </c>
      <c r="I72">
        <f t="shared" si="6"/>
        <v>2</v>
      </c>
      <c r="J72" t="str">
        <f t="shared" si="7"/>
        <v>February</v>
      </c>
      <c r="K72" t="str">
        <f t="shared" si="8"/>
        <v>OK</v>
      </c>
      <c r="L72" t="str">
        <f>IF(COUNTIF(A$2:A72,A72)&gt;1,"Duplicate","Unique")</f>
        <v>Unique</v>
      </c>
      <c r="M72" t="str">
        <f t="shared" si="9"/>
        <v>Ready</v>
      </c>
      <c r="N72" t="str">
        <f>clean_data!D248 &amp; " - " &amp; clean_data!C248</f>
        <v>Hodan - Assault</v>
      </c>
    </row>
    <row r="73" spans="1:14">
      <c r="A73" t="s">
        <v>211</v>
      </c>
      <c r="B73" s="1">
        <v>45731</v>
      </c>
      <c r="C73" t="s">
        <v>31</v>
      </c>
      <c r="D73" t="s">
        <v>3</v>
      </c>
      <c r="E73" t="s">
        <v>2</v>
      </c>
      <c r="F73" t="s">
        <v>1</v>
      </c>
      <c r="G73" t="s">
        <v>55</v>
      </c>
      <c r="H73">
        <f t="shared" si="5"/>
        <v>2025</v>
      </c>
      <c r="I73">
        <f t="shared" si="6"/>
        <v>3</v>
      </c>
      <c r="J73" t="str">
        <f t="shared" si="7"/>
        <v>March</v>
      </c>
      <c r="K73" t="str">
        <f t="shared" si="8"/>
        <v>OK</v>
      </c>
      <c r="L73" t="str">
        <f>IF(COUNTIF(A$2:A73,A73)&gt;1,"Duplicate","Unique")</f>
        <v>Unique</v>
      </c>
      <c r="M73" t="str">
        <f t="shared" si="9"/>
        <v>Ready</v>
      </c>
      <c r="N73" t="str">
        <f>clean_data!D102 &amp; " - " &amp; clean_data!C102</f>
        <v>Daynile - Fraud</v>
      </c>
    </row>
    <row r="74" spans="1:14">
      <c r="A74" t="s">
        <v>290</v>
      </c>
      <c r="B74" s="1">
        <v>45712</v>
      </c>
      <c r="C74" t="s">
        <v>27</v>
      </c>
      <c r="D74" t="str">
        <f>IF(D58="Unknown","Hodan",D58)</f>
        <v>Hodan</v>
      </c>
      <c r="E74" t="s">
        <v>2</v>
      </c>
      <c r="F74" t="s">
        <v>47</v>
      </c>
      <c r="G74" t="s">
        <v>15</v>
      </c>
      <c r="H74">
        <f t="shared" si="5"/>
        <v>2025</v>
      </c>
      <c r="I74">
        <f t="shared" si="6"/>
        <v>2</v>
      </c>
      <c r="J74" t="str">
        <f t="shared" si="7"/>
        <v>February</v>
      </c>
      <c r="K74" t="str">
        <f t="shared" si="8"/>
        <v>OK</v>
      </c>
      <c r="L74" t="str">
        <f>IF(COUNTIF(A$2:A74,A74)&gt;1,"Duplicate","Unique")</f>
        <v>Unique</v>
      </c>
      <c r="M74" t="str">
        <f t="shared" si="9"/>
        <v>Ready</v>
      </c>
      <c r="N74" t="str">
        <f>clean_data!D20 &amp; " - " &amp; clean_data!C20</f>
        <v>Wadajir - Fraud</v>
      </c>
    </row>
    <row r="75" spans="1:14">
      <c r="A75" t="s">
        <v>279</v>
      </c>
      <c r="B75" s="1">
        <f>IF(B2="Unknown",MEDIAN($B$2:$B$292),B2)</f>
        <v>46215</v>
      </c>
      <c r="C75" t="s">
        <v>4</v>
      </c>
      <c r="D75" t="s">
        <v>33</v>
      </c>
      <c r="E75" t="s">
        <v>30</v>
      </c>
      <c r="F75" t="s">
        <v>1</v>
      </c>
      <c r="G75" t="s">
        <v>10</v>
      </c>
      <c r="H75">
        <f t="shared" si="5"/>
        <v>2026</v>
      </c>
      <c r="I75">
        <f t="shared" si="6"/>
        <v>7</v>
      </c>
      <c r="J75" t="str">
        <f t="shared" si="7"/>
        <v>July</v>
      </c>
      <c r="K75" t="str">
        <f t="shared" si="8"/>
        <v>Needs Review</v>
      </c>
      <c r="L75" t="str">
        <f>IF(COUNTIF(A$2:A75,A75)&gt;1,"Duplicate","Unique")</f>
        <v>Unique</v>
      </c>
      <c r="M75" t="str">
        <f t="shared" si="9"/>
        <v>Review</v>
      </c>
      <c r="N75" t="str">
        <f>clean_data!D31 &amp; " - " &amp; clean_data!C31</f>
        <v>Daynile - Robbery</v>
      </c>
    </row>
    <row r="76" spans="1:14">
      <c r="A76" t="s">
        <v>190</v>
      </c>
      <c r="B76" s="1">
        <v>45900</v>
      </c>
      <c r="C76" t="s">
        <v>36</v>
      </c>
      <c r="D76" t="s">
        <v>33</v>
      </c>
      <c r="E76" t="s">
        <v>2</v>
      </c>
      <c r="F76" t="s">
        <v>1</v>
      </c>
      <c r="G76" t="s">
        <v>6</v>
      </c>
      <c r="H76">
        <f t="shared" si="5"/>
        <v>2025</v>
      </c>
      <c r="I76">
        <f t="shared" si="6"/>
        <v>8</v>
      </c>
      <c r="J76" t="str">
        <f t="shared" si="7"/>
        <v>August</v>
      </c>
      <c r="K76" t="str">
        <f t="shared" si="8"/>
        <v>OK</v>
      </c>
      <c r="L76" t="str">
        <f>IF(COUNTIF(A$2:A76,A76)&gt;1,"Duplicate","Unique")</f>
        <v>Unique</v>
      </c>
      <c r="M76" t="str">
        <f t="shared" si="9"/>
        <v>Ready</v>
      </c>
      <c r="N76" t="str">
        <f>clean_data!D126 &amp; " - " &amp; clean_data!C126</f>
        <v>Daynile - Robbery</v>
      </c>
    </row>
    <row r="77" spans="1:14">
      <c r="A77" t="s">
        <v>100</v>
      </c>
      <c r="B77" s="1">
        <v>46074</v>
      </c>
      <c r="C77" t="s">
        <v>31</v>
      </c>
      <c r="D77" t="s">
        <v>7</v>
      </c>
      <c r="E77" t="s">
        <v>2</v>
      </c>
      <c r="F77" t="s">
        <v>1</v>
      </c>
      <c r="G77" t="s">
        <v>15</v>
      </c>
      <c r="H77">
        <f t="shared" si="5"/>
        <v>2026</v>
      </c>
      <c r="I77">
        <f t="shared" si="6"/>
        <v>2</v>
      </c>
      <c r="J77" t="str">
        <f t="shared" si="7"/>
        <v>February</v>
      </c>
      <c r="K77" t="str">
        <f t="shared" si="8"/>
        <v>OK</v>
      </c>
      <c r="L77" t="str">
        <f>IF(COUNTIF(A$2:A77,A77)&gt;1,"Duplicate","Unique")</f>
        <v>Unique</v>
      </c>
      <c r="M77" t="str">
        <f t="shared" si="9"/>
        <v>Ready</v>
      </c>
      <c r="N77" t="str">
        <f>clean_data!D217 &amp; " - " &amp; clean_data!C217</f>
        <v>Daynile - Theft</v>
      </c>
    </row>
    <row r="78" spans="1:14">
      <c r="A78" t="s">
        <v>244</v>
      </c>
      <c r="B78" s="1">
        <v>45834</v>
      </c>
      <c r="C78" t="s">
        <v>27</v>
      </c>
      <c r="D78" t="s">
        <v>13</v>
      </c>
      <c r="E78" t="s">
        <v>30</v>
      </c>
      <c r="F78" t="str" cm="1">
        <f t="array" ref="F78">IF(F60="Unknown",INDEX(F$2:F$292,MODE(MATCH(F$2:F$292,F$2:F$292,0))),F60)</f>
        <v>Under Investigation</v>
      </c>
      <c r="G78" t="s">
        <v>15</v>
      </c>
      <c r="H78">
        <f t="shared" si="5"/>
        <v>2025</v>
      </c>
      <c r="I78">
        <f t="shared" si="6"/>
        <v>6</v>
      </c>
      <c r="J78" t="str">
        <f t="shared" si="7"/>
        <v>June</v>
      </c>
      <c r="K78" t="str">
        <f t="shared" si="8"/>
        <v>Needs Review</v>
      </c>
      <c r="L78" t="str">
        <f>IF(COUNTIF(A$2:A78,A78)&gt;1,"Duplicate","Unique")</f>
        <v>Unique</v>
      </c>
      <c r="M78" t="str">
        <f t="shared" si="9"/>
        <v>Review</v>
      </c>
      <c r="N78" t="str">
        <f>clean_data!D69 &amp; " - " &amp; clean_data!C69</f>
        <v>Waberi - Traffic Offense</v>
      </c>
    </row>
    <row r="79" spans="1:14">
      <c r="A79" t="s">
        <v>37</v>
      </c>
      <c r="B79" s="1">
        <v>45882</v>
      </c>
      <c r="C79" t="s">
        <v>36</v>
      </c>
      <c r="D79" t="s">
        <v>13</v>
      </c>
      <c r="E79" t="s">
        <v>12</v>
      </c>
      <c r="F79" t="s">
        <v>11</v>
      </c>
      <c r="G79" t="s">
        <v>6</v>
      </c>
      <c r="H79">
        <f t="shared" si="5"/>
        <v>2025</v>
      </c>
      <c r="I79">
        <f t="shared" si="6"/>
        <v>8</v>
      </c>
      <c r="J79" t="str">
        <f t="shared" si="7"/>
        <v>August</v>
      </c>
      <c r="K79" t="str">
        <f t="shared" si="8"/>
        <v>OK</v>
      </c>
      <c r="L79" t="str">
        <f>IF(COUNTIF(A$2:A79,A79)&gt;1,"Duplicate","Unique")</f>
        <v>Unique</v>
      </c>
      <c r="M79" t="str">
        <f t="shared" si="9"/>
        <v>Ready</v>
      </c>
      <c r="N79" t="str">
        <f>clean_data!D278 &amp; " - " &amp; clean_data!C278</f>
        <v>Waberi - Robbery</v>
      </c>
    </row>
    <row r="80" spans="1:14">
      <c r="A80" t="s">
        <v>140</v>
      </c>
      <c r="B80" s="1">
        <v>46167</v>
      </c>
      <c r="C80" t="s">
        <v>31</v>
      </c>
      <c r="D80" t="s">
        <v>7</v>
      </c>
      <c r="E80" t="s">
        <v>12</v>
      </c>
      <c r="F80" t="s">
        <v>16</v>
      </c>
      <c r="G80" t="s">
        <v>15</v>
      </c>
      <c r="H80">
        <f t="shared" si="5"/>
        <v>2026</v>
      </c>
      <c r="I80">
        <f t="shared" si="6"/>
        <v>5</v>
      </c>
      <c r="J80" t="str">
        <f t="shared" si="7"/>
        <v>May</v>
      </c>
      <c r="K80" t="str">
        <f t="shared" si="8"/>
        <v>OK</v>
      </c>
      <c r="L80" t="str">
        <f>IF(COUNTIF(A$2:A80,A80)&gt;1,"Duplicate","Unique")</f>
        <v>Unique</v>
      </c>
      <c r="M80" t="str">
        <f t="shared" si="9"/>
        <v>Ready</v>
      </c>
      <c r="N80" t="str">
        <f>clean_data!D176 &amp; " - " &amp; clean_data!C176</f>
        <v>Daynile - Fraud</v>
      </c>
    </row>
    <row r="81" spans="1:14">
      <c r="A81" t="s">
        <v>99</v>
      </c>
      <c r="B81" s="1">
        <v>46108</v>
      </c>
      <c r="C81" t="s">
        <v>31</v>
      </c>
      <c r="D81" t="s">
        <v>13</v>
      </c>
      <c r="E81" t="s">
        <v>30</v>
      </c>
      <c r="F81" t="s">
        <v>11</v>
      </c>
      <c r="G81" t="s">
        <v>15</v>
      </c>
      <c r="H81">
        <f t="shared" si="5"/>
        <v>2026</v>
      </c>
      <c r="I81">
        <f t="shared" si="6"/>
        <v>3</v>
      </c>
      <c r="J81" t="str">
        <f t="shared" si="7"/>
        <v>March</v>
      </c>
      <c r="K81" t="str">
        <f t="shared" si="8"/>
        <v>Needs Review</v>
      </c>
      <c r="L81" t="str">
        <f>IF(COUNTIF(A$2:A81,A81)&gt;1,"Duplicate","Unique")</f>
        <v>Unique</v>
      </c>
      <c r="M81" t="str">
        <f t="shared" si="9"/>
        <v>Review</v>
      </c>
      <c r="N81" t="str">
        <f>clean_data!D91 &amp; " - " &amp; clean_data!C91</f>
        <v>Hodan - Theft</v>
      </c>
    </row>
    <row r="82" spans="1:14">
      <c r="A82" t="s">
        <v>267</v>
      </c>
      <c r="B82" s="1">
        <v>45964</v>
      </c>
      <c r="C82" t="s">
        <v>4</v>
      </c>
      <c r="D82" t="s">
        <v>7</v>
      </c>
      <c r="E82" t="s">
        <v>2</v>
      </c>
      <c r="F82" t="s">
        <v>1</v>
      </c>
      <c r="G82" t="s">
        <v>10</v>
      </c>
      <c r="H82">
        <f t="shared" si="5"/>
        <v>2025</v>
      </c>
      <c r="I82">
        <f t="shared" si="6"/>
        <v>11</v>
      </c>
      <c r="J82" t="str">
        <f t="shared" si="7"/>
        <v>November</v>
      </c>
      <c r="K82" t="str">
        <f t="shared" si="8"/>
        <v>OK</v>
      </c>
      <c r="L82" t="str">
        <f>IF(COUNTIF(A$2:A82,A82)&gt;1,"Duplicate","Unique")</f>
        <v>Unique</v>
      </c>
      <c r="M82" t="str">
        <f t="shared" si="9"/>
        <v>Ready</v>
      </c>
      <c r="N82" t="str">
        <f>clean_data!D44 &amp; " - " &amp; clean_data!C44</f>
        <v>Wadajir - Fraud</v>
      </c>
    </row>
    <row r="83" spans="1:14">
      <c r="A83" t="s">
        <v>80</v>
      </c>
      <c r="B83" s="1">
        <v>45736</v>
      </c>
      <c r="C83" t="s">
        <v>36</v>
      </c>
      <c r="D83" t="s">
        <v>33</v>
      </c>
      <c r="E83" t="s">
        <v>2</v>
      </c>
      <c r="F83" t="s">
        <v>1</v>
      </c>
      <c r="G83" t="s">
        <v>6</v>
      </c>
      <c r="H83">
        <f t="shared" si="5"/>
        <v>2025</v>
      </c>
      <c r="I83">
        <f t="shared" si="6"/>
        <v>3</v>
      </c>
      <c r="J83" t="str">
        <f t="shared" si="7"/>
        <v>March</v>
      </c>
      <c r="K83" t="str">
        <f t="shared" si="8"/>
        <v>OK</v>
      </c>
      <c r="L83" t="str">
        <f>IF(COUNTIF(A$2:A83,A83)&gt;1,"Duplicate","Unique")</f>
        <v>Unique</v>
      </c>
      <c r="M83" t="str">
        <f t="shared" si="9"/>
        <v>Ready</v>
      </c>
      <c r="N83" t="str">
        <f>clean_data!D235 &amp; " - " &amp; clean_data!C235</f>
        <v>Wadajir - Theft</v>
      </c>
    </row>
    <row r="84" spans="1:14">
      <c r="A84" t="s">
        <v>46</v>
      </c>
      <c r="B84" s="1">
        <v>46225</v>
      </c>
      <c r="C84" t="s">
        <v>31</v>
      </c>
      <c r="D84" t="str">
        <f>IF(D68="Unknown","Hodan",D68)</f>
        <v>Wadajir</v>
      </c>
      <c r="E84" t="s">
        <v>12</v>
      </c>
      <c r="F84" t="s">
        <v>11</v>
      </c>
      <c r="G84" t="s">
        <v>15</v>
      </c>
      <c r="H84">
        <f t="shared" si="5"/>
        <v>2026</v>
      </c>
      <c r="I84">
        <f t="shared" si="6"/>
        <v>7</v>
      </c>
      <c r="J84" t="str">
        <f t="shared" si="7"/>
        <v>July</v>
      </c>
      <c r="K84" t="str">
        <f t="shared" si="8"/>
        <v>OK</v>
      </c>
      <c r="L84" t="str">
        <f>IF(COUNTIF(A$2:A84,A84)&gt;1,"Duplicate","Unique")</f>
        <v>Unique</v>
      </c>
      <c r="M84" t="str">
        <f t="shared" si="9"/>
        <v>Ready</v>
      </c>
      <c r="N84" t="str">
        <f>clean_data!D269 &amp; " - " &amp; clean_data!C269</f>
        <v>Hodan - Assault</v>
      </c>
    </row>
    <row r="85" spans="1:14">
      <c r="A85" t="s">
        <v>214</v>
      </c>
      <c r="B85" s="1">
        <v>46147</v>
      </c>
      <c r="C85" t="s">
        <v>27</v>
      </c>
      <c r="D85" t="s">
        <v>7</v>
      </c>
      <c r="E85" t="s">
        <v>12</v>
      </c>
      <c r="F85" t="s">
        <v>16</v>
      </c>
      <c r="G85" t="s">
        <v>15</v>
      </c>
      <c r="H85">
        <f t="shared" si="5"/>
        <v>2026</v>
      </c>
      <c r="I85">
        <f t="shared" si="6"/>
        <v>5</v>
      </c>
      <c r="J85" t="str">
        <f t="shared" si="7"/>
        <v>May</v>
      </c>
      <c r="K85" t="str">
        <f t="shared" si="8"/>
        <v>OK</v>
      </c>
      <c r="L85" t="str">
        <f>IF(COUNTIF(A$2:A85,A85)&gt;1,"Duplicate","Unique")</f>
        <v>Unique</v>
      </c>
      <c r="M85" t="str">
        <f t="shared" si="9"/>
        <v>Ready</v>
      </c>
      <c r="N85" t="str">
        <f>clean_data!D99 &amp; " - " &amp; clean_data!C99</f>
        <v>Daynile - Fraud</v>
      </c>
    </row>
    <row r="86" spans="1:14">
      <c r="A86" t="s">
        <v>258</v>
      </c>
      <c r="B86" s="1">
        <f>IF(B2="Unknown",MEDIAN($B$2:$B$292),B2)</f>
        <v>46215</v>
      </c>
      <c r="C86" t="s">
        <v>27</v>
      </c>
      <c r="D86" t="s">
        <v>3</v>
      </c>
      <c r="E86" t="s">
        <v>2</v>
      </c>
      <c r="F86" t="s">
        <v>1</v>
      </c>
      <c r="G86" t="s">
        <v>15</v>
      </c>
      <c r="H86">
        <f t="shared" si="5"/>
        <v>2026</v>
      </c>
      <c r="I86">
        <f t="shared" si="6"/>
        <v>7</v>
      </c>
      <c r="J86" t="str">
        <f t="shared" si="7"/>
        <v>July</v>
      </c>
      <c r="K86" t="str">
        <f t="shared" si="8"/>
        <v>OK</v>
      </c>
      <c r="L86" t="str">
        <f>IF(COUNTIF(A$2:A86,A86)&gt;1,"Duplicate","Unique")</f>
        <v>Unique</v>
      </c>
      <c r="M86" t="str">
        <f t="shared" si="9"/>
        <v>Ready</v>
      </c>
      <c r="N86" t="str">
        <f>clean_data!D54 &amp; " - " &amp; clean_data!C54</f>
        <v>Wadajir - Fraud</v>
      </c>
    </row>
    <row r="87" spans="1:14">
      <c r="A87" t="s">
        <v>69</v>
      </c>
      <c r="B87" s="1">
        <v>45667</v>
      </c>
      <c r="C87" t="s">
        <v>27</v>
      </c>
      <c r="D87" t="s">
        <v>33</v>
      </c>
      <c r="E87" t="s">
        <v>2</v>
      </c>
      <c r="F87" t="s">
        <v>1</v>
      </c>
      <c r="G87" t="s">
        <v>15</v>
      </c>
      <c r="H87">
        <f t="shared" si="5"/>
        <v>2025</v>
      </c>
      <c r="I87">
        <f t="shared" si="6"/>
        <v>1</v>
      </c>
      <c r="J87" t="str">
        <f t="shared" si="7"/>
        <v>January</v>
      </c>
      <c r="K87" t="str">
        <f t="shared" si="8"/>
        <v>OK</v>
      </c>
      <c r="L87" t="str">
        <f>IF(COUNTIF(A$2:A87,A87)&gt;1,"Duplicate","Unique")</f>
        <v>Unique</v>
      </c>
      <c r="M87" t="str">
        <f t="shared" si="9"/>
        <v>Ready</v>
      </c>
      <c r="N87" t="str">
        <f>clean_data!D247 &amp; " - " &amp; clean_data!C247</f>
        <v>Wadajir - Theft</v>
      </c>
    </row>
    <row r="88" spans="1:14">
      <c r="A88" t="s">
        <v>172</v>
      </c>
      <c r="B88" s="1">
        <v>46019</v>
      </c>
      <c r="C88" t="s">
        <v>31</v>
      </c>
      <c r="D88" t="s">
        <v>26</v>
      </c>
      <c r="E88" t="s">
        <v>30</v>
      </c>
      <c r="F88" t="s">
        <v>11</v>
      </c>
      <c r="G88" t="s">
        <v>15</v>
      </c>
      <c r="H88">
        <f t="shared" si="5"/>
        <v>2025</v>
      </c>
      <c r="I88">
        <f t="shared" si="6"/>
        <v>12</v>
      </c>
      <c r="J88" t="str">
        <f t="shared" si="7"/>
        <v>December</v>
      </c>
      <c r="K88" t="str">
        <f t="shared" si="8"/>
        <v>Needs Review</v>
      </c>
      <c r="L88" t="str">
        <f>IF(COUNTIF(A$2:A88,A88)&gt;1,"Duplicate","Unique")</f>
        <v>Unique</v>
      </c>
      <c r="M88" t="str">
        <f t="shared" si="9"/>
        <v>Review</v>
      </c>
      <c r="N88" t="str">
        <f>clean_data!D146 &amp; " - " &amp; clean_data!C146</f>
        <v>Karan - Theft</v>
      </c>
    </row>
    <row r="89" spans="1:14">
      <c r="A89" t="s">
        <v>119</v>
      </c>
      <c r="B89" s="1">
        <v>46060</v>
      </c>
      <c r="C89" t="s">
        <v>36</v>
      </c>
      <c r="D89" t="s">
        <v>3</v>
      </c>
      <c r="E89" t="s">
        <v>2</v>
      </c>
      <c r="F89" t="s">
        <v>16</v>
      </c>
      <c r="G89" t="s">
        <v>6</v>
      </c>
      <c r="H89">
        <f t="shared" si="5"/>
        <v>2026</v>
      </c>
      <c r="I89">
        <f t="shared" si="6"/>
        <v>2</v>
      </c>
      <c r="J89" t="str">
        <f t="shared" si="7"/>
        <v>February</v>
      </c>
      <c r="K89" t="str">
        <f t="shared" si="8"/>
        <v>OK</v>
      </c>
      <c r="L89" t="str">
        <f>IF(COUNTIF(A$2:A89,A89)&gt;1,"Duplicate","Unique")</f>
        <v>Unique</v>
      </c>
      <c r="M89" t="str">
        <f t="shared" si="9"/>
        <v>Ready</v>
      </c>
      <c r="N89" t="str">
        <f>clean_data!D198 &amp; " - " &amp; clean_data!C198</f>
        <v>Yaqshid - Robbery</v>
      </c>
    </row>
    <row r="90" spans="1:14">
      <c r="A90" t="s">
        <v>107</v>
      </c>
      <c r="B90" s="1">
        <v>46073</v>
      </c>
      <c r="C90" t="s">
        <v>31</v>
      </c>
      <c r="D90" t="s">
        <v>26</v>
      </c>
      <c r="E90" t="s">
        <v>12</v>
      </c>
      <c r="F90" t="s">
        <v>1</v>
      </c>
      <c r="G90" t="s">
        <v>15</v>
      </c>
      <c r="H90">
        <f t="shared" si="5"/>
        <v>2026</v>
      </c>
      <c r="I90">
        <f t="shared" si="6"/>
        <v>2</v>
      </c>
      <c r="J90" t="str">
        <f t="shared" si="7"/>
        <v>February</v>
      </c>
      <c r="K90" t="str">
        <f t="shared" si="8"/>
        <v>OK</v>
      </c>
      <c r="L90" t="str">
        <f>IF(COUNTIF(A$2:A90,A90)&gt;1,"Duplicate","Unique")</f>
        <v>Unique</v>
      </c>
      <c r="M90" t="str">
        <f t="shared" si="9"/>
        <v>Ready</v>
      </c>
      <c r="N90" t="str">
        <f>clean_data!D209 &amp; " - " &amp; clean_data!C209</f>
        <v>Hodan - Assault</v>
      </c>
    </row>
    <row r="91" spans="1:14">
      <c r="A91" t="s">
        <v>50</v>
      </c>
      <c r="B91" s="1">
        <v>45902</v>
      </c>
      <c r="C91" t="s">
        <v>27</v>
      </c>
      <c r="D91" t="s">
        <v>3</v>
      </c>
      <c r="E91" t="s">
        <v>2</v>
      </c>
      <c r="F91" t="s">
        <v>1</v>
      </c>
      <c r="G91" t="s">
        <v>15</v>
      </c>
      <c r="H91">
        <f t="shared" si="5"/>
        <v>2025</v>
      </c>
      <c r="I91">
        <f t="shared" si="6"/>
        <v>9</v>
      </c>
      <c r="J91" t="str">
        <f t="shared" si="7"/>
        <v>September</v>
      </c>
      <c r="K91" t="str">
        <f t="shared" si="8"/>
        <v>OK</v>
      </c>
      <c r="L91" t="str">
        <f>IF(COUNTIF(A$2:A91,A91)&gt;1,"Duplicate","Unique")</f>
        <v>Unique</v>
      </c>
      <c r="M91" t="str">
        <f t="shared" si="9"/>
        <v>Ready</v>
      </c>
      <c r="N91" t="str">
        <f>clean_data!D265 &amp; " - " &amp; clean_data!C265</f>
        <v>Yaqshid - Fraud</v>
      </c>
    </row>
    <row r="92" spans="1:14">
      <c r="A92" t="s">
        <v>49</v>
      </c>
      <c r="B92" s="1">
        <v>45697</v>
      </c>
      <c r="C92" t="s">
        <v>36</v>
      </c>
      <c r="D92" t="s">
        <v>3</v>
      </c>
      <c r="E92" t="s">
        <v>2</v>
      </c>
      <c r="F92" t="s">
        <v>1</v>
      </c>
      <c r="G92" t="s">
        <v>6</v>
      </c>
      <c r="H92">
        <f t="shared" si="5"/>
        <v>2025</v>
      </c>
      <c r="I92">
        <f t="shared" si="6"/>
        <v>2</v>
      </c>
      <c r="J92" t="str">
        <f t="shared" si="7"/>
        <v>February</v>
      </c>
      <c r="K92" t="str">
        <f t="shared" si="8"/>
        <v>OK</v>
      </c>
      <c r="L92" t="str">
        <f>IF(COUNTIF(A$2:A92,A92)&gt;1,"Duplicate","Unique")</f>
        <v>Unique</v>
      </c>
      <c r="M92" t="str">
        <f t="shared" si="9"/>
        <v>Ready</v>
      </c>
      <c r="N92" t="str">
        <f>clean_data!D266 &amp; " - " &amp; clean_data!C266</f>
        <v>Yaqshid - Fraud</v>
      </c>
    </row>
    <row r="93" spans="1:14">
      <c r="A93" t="s">
        <v>285</v>
      </c>
      <c r="B93" s="1">
        <v>46167</v>
      </c>
      <c r="C93" t="str" cm="1">
        <f t="array" ref="C93">IF(C71="Unknown",INDEX(C$2:C$292,MODE(MATCH(C$2:C$292,C$2:C$292,0))),C71)</f>
        <v>Assault</v>
      </c>
      <c r="D93" t="s">
        <v>21</v>
      </c>
      <c r="E93" t="s">
        <v>2</v>
      </c>
      <c r="F93" t="s">
        <v>1</v>
      </c>
      <c r="G93" t="s">
        <v>6</v>
      </c>
      <c r="H93">
        <f t="shared" si="5"/>
        <v>2026</v>
      </c>
      <c r="I93">
        <f t="shared" si="6"/>
        <v>5</v>
      </c>
      <c r="J93" t="str">
        <f t="shared" si="7"/>
        <v>May</v>
      </c>
      <c r="K93" t="str">
        <f t="shared" si="8"/>
        <v>OK</v>
      </c>
      <c r="L93" t="str">
        <f>IF(COUNTIF(A$2:A93,A93)&gt;1,"Duplicate","Unique")</f>
        <v>Unique</v>
      </c>
      <c r="M93" t="str">
        <f t="shared" si="9"/>
        <v>Ready</v>
      </c>
      <c r="N93" t="str">
        <f>clean_data!D25 &amp; " - " &amp; clean_data!C25</f>
        <v>Yaqshid - Robbery</v>
      </c>
    </row>
    <row r="94" spans="1:14">
      <c r="A94" t="s">
        <v>275</v>
      </c>
      <c r="B94" s="1">
        <v>45853</v>
      </c>
      <c r="C94" t="s">
        <v>31</v>
      </c>
      <c r="D94" t="s">
        <v>33</v>
      </c>
      <c r="E94" t="s">
        <v>12</v>
      </c>
      <c r="F94" t="s">
        <v>11</v>
      </c>
      <c r="G94" t="s">
        <v>15</v>
      </c>
      <c r="H94">
        <f t="shared" si="5"/>
        <v>2025</v>
      </c>
      <c r="I94">
        <f t="shared" si="6"/>
        <v>7</v>
      </c>
      <c r="J94" t="str">
        <f t="shared" si="7"/>
        <v>July</v>
      </c>
      <c r="K94" t="str">
        <f t="shared" si="8"/>
        <v>OK</v>
      </c>
      <c r="L94" t="str">
        <f>IF(COUNTIF(A$2:A94,A94)&gt;1,"Duplicate","Unique")</f>
        <v>Unique</v>
      </c>
      <c r="M94" t="str">
        <f t="shared" si="9"/>
        <v>Ready</v>
      </c>
      <c r="N94" t="str">
        <f>clean_data!D35 &amp; " - " &amp; clean_data!C35</f>
        <v>Hodan - Theft</v>
      </c>
    </row>
    <row r="95" spans="1:14">
      <c r="A95" t="s">
        <v>208</v>
      </c>
      <c r="B95" s="1">
        <v>45869</v>
      </c>
      <c r="C95" t="s">
        <v>36</v>
      </c>
      <c r="D95" t="s">
        <v>33</v>
      </c>
      <c r="E95" t="s">
        <v>2</v>
      </c>
      <c r="F95" t="s">
        <v>16</v>
      </c>
      <c r="G95" t="s">
        <v>6</v>
      </c>
      <c r="H95">
        <f t="shared" si="5"/>
        <v>2025</v>
      </c>
      <c r="I95">
        <f t="shared" si="6"/>
        <v>7</v>
      </c>
      <c r="J95" t="str">
        <f t="shared" si="7"/>
        <v>July</v>
      </c>
      <c r="K95" t="str">
        <f t="shared" si="8"/>
        <v>OK</v>
      </c>
      <c r="L95" t="str">
        <f>IF(COUNTIF(A$2:A95,A95)&gt;1,"Duplicate","Unique")</f>
        <v>Unique</v>
      </c>
      <c r="M95" t="str">
        <f t="shared" si="9"/>
        <v>Ready</v>
      </c>
      <c r="N95" t="str">
        <f>clean_data!D105 &amp; " - " &amp; clean_data!C105</f>
        <v>Waberi - Theft</v>
      </c>
    </row>
    <row r="96" spans="1:14">
      <c r="A96" t="s">
        <v>287</v>
      </c>
      <c r="B96" s="1">
        <f>IF(B2="Unknown",MEDIAN($B$2:$B$292),B2)</f>
        <v>46215</v>
      </c>
      <c r="C96" t="s">
        <v>36</v>
      </c>
      <c r="D96" t="s">
        <v>7</v>
      </c>
      <c r="E96" t="s">
        <v>2</v>
      </c>
      <c r="F96" t="s">
        <v>16</v>
      </c>
      <c r="G96" t="s">
        <v>6</v>
      </c>
      <c r="H96">
        <f t="shared" si="5"/>
        <v>2026</v>
      </c>
      <c r="I96">
        <f t="shared" si="6"/>
        <v>7</v>
      </c>
      <c r="J96" t="str">
        <f t="shared" si="7"/>
        <v>July</v>
      </c>
      <c r="K96" t="str">
        <f t="shared" si="8"/>
        <v>OK</v>
      </c>
      <c r="L96" t="str">
        <f>IF(COUNTIF(A$2:A96,A96)&gt;1,"Duplicate","Unique")</f>
        <v>Unique</v>
      </c>
      <c r="M96" t="str">
        <f t="shared" si="9"/>
        <v>Ready</v>
      </c>
      <c r="N96" t="str">
        <f>clean_data!D23 &amp; " - " &amp; clean_data!C23</f>
        <v>Wadajir - Fraud</v>
      </c>
    </row>
    <row r="97" spans="1:14">
      <c r="A97" t="s">
        <v>152</v>
      </c>
      <c r="B97" s="1">
        <v>45923</v>
      </c>
      <c r="C97" t="s">
        <v>31</v>
      </c>
      <c r="D97" t="s">
        <v>3</v>
      </c>
      <c r="E97" t="s">
        <v>2</v>
      </c>
      <c r="F97" t="s">
        <v>1</v>
      </c>
      <c r="G97" t="s">
        <v>15</v>
      </c>
      <c r="H97">
        <f t="shared" si="5"/>
        <v>2025</v>
      </c>
      <c r="I97">
        <f t="shared" si="6"/>
        <v>9</v>
      </c>
      <c r="J97" t="str">
        <f t="shared" si="7"/>
        <v>September</v>
      </c>
      <c r="K97" t="str">
        <f t="shared" si="8"/>
        <v>OK</v>
      </c>
      <c r="L97" t="str">
        <f>IF(COUNTIF(A$2:A97,A97)&gt;1,"Duplicate","Unique")</f>
        <v>Unique</v>
      </c>
      <c r="M97" t="str">
        <f t="shared" si="9"/>
        <v>Ready</v>
      </c>
      <c r="N97" t="str">
        <f>clean_data!D165 &amp; " - " &amp; clean_data!C165</f>
        <v>Wadajir - Robbery</v>
      </c>
    </row>
    <row r="98" spans="1:14">
      <c r="A98" t="s">
        <v>237</v>
      </c>
      <c r="B98" s="1">
        <v>45975</v>
      </c>
      <c r="C98" t="s">
        <v>27</v>
      </c>
      <c r="D98" t="str">
        <f>IF(D82="Unknown","Hodan",D82)</f>
        <v>Wadajir</v>
      </c>
      <c r="E98" t="s">
        <v>2</v>
      </c>
      <c r="F98" t="s">
        <v>236</v>
      </c>
      <c r="G98" t="s">
        <v>15</v>
      </c>
      <c r="H98">
        <f t="shared" si="5"/>
        <v>2025</v>
      </c>
      <c r="I98">
        <f t="shared" si="6"/>
        <v>11</v>
      </c>
      <c r="J98" t="str">
        <f t="shared" si="7"/>
        <v>November</v>
      </c>
      <c r="K98" t="str">
        <f t="shared" si="8"/>
        <v>OK</v>
      </c>
      <c r="L98" t="str">
        <f>IF(COUNTIF(A$2:A98,A98)&gt;1,"Duplicate","Unique")</f>
        <v>Unique</v>
      </c>
      <c r="M98" t="str">
        <f t="shared" si="9"/>
        <v>Ready</v>
      </c>
      <c r="N98" t="str">
        <f>clean_data!D77 &amp; " - " &amp; clean_data!C77</f>
        <v>Wadajir - Fraud</v>
      </c>
    </row>
    <row r="99" spans="1:14">
      <c r="A99" t="s">
        <v>293</v>
      </c>
      <c r="B99" s="1">
        <v>45755</v>
      </c>
      <c r="C99" t="str" cm="1">
        <f t="array" ref="C99">IF(C77="Unknown",INDEX(C$2:C$292,MODE(MATCH(C$2:C$292,C$2:C$292,0))),C77)</f>
        <v>Fraud</v>
      </c>
      <c r="D99" t="s">
        <v>33</v>
      </c>
      <c r="E99" t="s">
        <v>12</v>
      </c>
      <c r="F99" t="s">
        <v>1</v>
      </c>
      <c r="G99" t="s">
        <v>6</v>
      </c>
      <c r="H99">
        <f t="shared" si="5"/>
        <v>2025</v>
      </c>
      <c r="I99">
        <f t="shared" si="6"/>
        <v>4</v>
      </c>
      <c r="J99" t="str">
        <f t="shared" si="7"/>
        <v>April</v>
      </c>
      <c r="K99" t="str">
        <f t="shared" si="8"/>
        <v>OK</v>
      </c>
      <c r="L99" t="str">
        <f>IF(COUNTIF(A$2:A99,A99)&gt;1,"Duplicate","Unique")</f>
        <v>Unique</v>
      </c>
      <c r="M99" t="str">
        <f t="shared" si="9"/>
        <v>Ready</v>
      </c>
      <c r="N99" t="str">
        <f>clean_data!D17 &amp; " - " &amp; clean_data!C17</f>
        <v>Wadajir - Robbery</v>
      </c>
    </row>
    <row r="100" spans="1:14">
      <c r="A100" t="s">
        <v>53</v>
      </c>
      <c r="B100" s="1">
        <v>45833</v>
      </c>
      <c r="C100" t="str" cm="1">
        <f t="array" ref="C100">IF(C78="Unknown",INDEX(C$2:C$292,MODE(MATCH(C$2:C$292,C$2:C$292,0))),C78)</f>
        <v>Theft</v>
      </c>
      <c r="D100" t="s">
        <v>3</v>
      </c>
      <c r="E100" t="s">
        <v>12</v>
      </c>
      <c r="F100" t="s">
        <v>11</v>
      </c>
      <c r="G100" t="s">
        <v>6</v>
      </c>
      <c r="H100">
        <f t="shared" si="5"/>
        <v>2025</v>
      </c>
      <c r="I100">
        <f t="shared" si="6"/>
        <v>6</v>
      </c>
      <c r="J100" t="str">
        <f t="shared" si="7"/>
        <v>June</v>
      </c>
      <c r="K100" t="str">
        <f t="shared" si="8"/>
        <v>OK</v>
      </c>
      <c r="L100" t="str">
        <f>IF(COUNTIF(A$2:A100,A100)&gt;1,"Duplicate","Unique")</f>
        <v>Unique</v>
      </c>
      <c r="M100" t="str">
        <f t="shared" si="9"/>
        <v>Ready</v>
      </c>
      <c r="N100" t="str">
        <f>clean_data!D262 &amp; " - " &amp; clean_data!C262</f>
        <v>Wadajir - Robbery</v>
      </c>
    </row>
    <row r="101" spans="1:14">
      <c r="A101" t="s">
        <v>153</v>
      </c>
      <c r="B101" s="1">
        <v>45924</v>
      </c>
      <c r="C101" t="s">
        <v>8</v>
      </c>
      <c r="D101" t="s">
        <v>21</v>
      </c>
      <c r="E101" t="s">
        <v>315</v>
      </c>
      <c r="F101" t="s">
        <v>11</v>
      </c>
      <c r="G101" t="s">
        <v>6</v>
      </c>
      <c r="H101">
        <f t="shared" si="5"/>
        <v>2025</v>
      </c>
      <c r="I101">
        <f t="shared" si="6"/>
        <v>9</v>
      </c>
      <c r="J101" t="str">
        <f t="shared" si="7"/>
        <v>September</v>
      </c>
      <c r="K101" t="str">
        <f t="shared" si="8"/>
        <v>Needs Review</v>
      </c>
      <c r="L101" t="str">
        <f>IF(COUNTIF(A$2:A101,A101)&gt;1,"Duplicate","Unique")</f>
        <v>Unique</v>
      </c>
      <c r="M101" t="str">
        <f t="shared" si="9"/>
        <v>Review</v>
      </c>
      <c r="N101" t="str">
        <f>clean_data!D164 &amp; " - " &amp; clean_data!C164</f>
        <v>Wadajir - Burglary</v>
      </c>
    </row>
    <row r="102" spans="1:14">
      <c r="A102" t="s">
        <v>72</v>
      </c>
      <c r="B102" s="1">
        <v>46103</v>
      </c>
      <c r="C102" t="s">
        <v>31</v>
      </c>
      <c r="D102" t="s">
        <v>33</v>
      </c>
      <c r="E102" t="s">
        <v>2</v>
      </c>
      <c r="F102" t="s">
        <v>1</v>
      </c>
      <c r="G102" t="s">
        <v>15</v>
      </c>
      <c r="H102">
        <f t="shared" si="5"/>
        <v>2026</v>
      </c>
      <c r="I102">
        <f t="shared" si="6"/>
        <v>3</v>
      </c>
      <c r="J102" t="str">
        <f t="shared" si="7"/>
        <v>March</v>
      </c>
      <c r="K102" t="str">
        <f t="shared" si="8"/>
        <v>OK</v>
      </c>
      <c r="L102" t="str">
        <f>IF(COUNTIF(A$2:A102,A102)&gt;1,"Duplicate","Unique")</f>
        <v>Unique</v>
      </c>
      <c r="M102" t="str">
        <f t="shared" si="9"/>
        <v>Ready</v>
      </c>
      <c r="N102" t="str">
        <f>clean_data!D244 &amp; " - " &amp; clean_data!C244</f>
        <v>Daynile - Assault</v>
      </c>
    </row>
    <row r="103" spans="1:14">
      <c r="A103" t="s">
        <v>66</v>
      </c>
      <c r="B103" s="1">
        <v>46123</v>
      </c>
      <c r="C103" t="s">
        <v>36</v>
      </c>
      <c r="D103" t="s">
        <v>33</v>
      </c>
      <c r="E103" t="s">
        <v>12</v>
      </c>
      <c r="F103" t="s">
        <v>1</v>
      </c>
      <c r="G103" t="s">
        <v>6</v>
      </c>
      <c r="H103">
        <f t="shared" si="5"/>
        <v>2026</v>
      </c>
      <c r="I103">
        <f t="shared" si="6"/>
        <v>4</v>
      </c>
      <c r="J103" t="str">
        <f t="shared" si="7"/>
        <v>April</v>
      </c>
      <c r="K103" t="str">
        <f t="shared" si="8"/>
        <v>OK</v>
      </c>
      <c r="L103" t="str">
        <f>IF(COUNTIF(A$2:A103,A103)&gt;1,"Duplicate","Unique")</f>
        <v>Unique</v>
      </c>
      <c r="M103" t="str">
        <f t="shared" si="9"/>
        <v>Ready</v>
      </c>
      <c r="N103" t="str">
        <f>clean_data!D250 &amp; " - " &amp; clean_data!C250</f>
        <v>Hodan - Robbery</v>
      </c>
    </row>
    <row r="104" spans="1:14">
      <c r="A104" t="s">
        <v>186</v>
      </c>
      <c r="B104" s="1">
        <v>45880</v>
      </c>
      <c r="C104" t="s">
        <v>36</v>
      </c>
      <c r="D104" t="s">
        <v>21</v>
      </c>
      <c r="E104" t="s">
        <v>12</v>
      </c>
      <c r="F104" t="s">
        <v>16</v>
      </c>
      <c r="G104" t="s">
        <v>6</v>
      </c>
      <c r="H104">
        <f t="shared" si="5"/>
        <v>2025</v>
      </c>
      <c r="I104">
        <f t="shared" si="6"/>
        <v>8</v>
      </c>
      <c r="J104" t="str">
        <f t="shared" si="7"/>
        <v>August</v>
      </c>
      <c r="K104" t="str">
        <f t="shared" si="8"/>
        <v>OK</v>
      </c>
      <c r="L104" t="str">
        <f>IF(COUNTIF(A$2:A104,A104)&gt;1,"Duplicate","Unique")</f>
        <v>Unique</v>
      </c>
      <c r="M104" t="str">
        <f t="shared" si="9"/>
        <v>Ready</v>
      </c>
      <c r="N104" t="str">
        <f>clean_data!D130 &amp; " - " &amp; clean_data!C130</f>
        <v>Waberi - Fraud</v>
      </c>
    </row>
    <row r="105" spans="1:14">
      <c r="A105" t="s">
        <v>102</v>
      </c>
      <c r="B105" s="1">
        <v>46198</v>
      </c>
      <c r="C105" t="s">
        <v>27</v>
      </c>
      <c r="D105" t="s">
        <v>13</v>
      </c>
      <c r="E105" t="s">
        <v>30</v>
      </c>
      <c r="F105" t="s">
        <v>11</v>
      </c>
      <c r="G105" t="s">
        <v>15</v>
      </c>
      <c r="H105">
        <f t="shared" si="5"/>
        <v>2026</v>
      </c>
      <c r="I105">
        <f t="shared" si="6"/>
        <v>6</v>
      </c>
      <c r="J105" t="str">
        <f t="shared" si="7"/>
        <v>June</v>
      </c>
      <c r="K105" t="str">
        <f t="shared" si="8"/>
        <v>Needs Review</v>
      </c>
      <c r="L105" t="str">
        <f>IF(COUNTIF(A$2:A105,A105)&gt;1,"Duplicate","Unique")</f>
        <v>Unique</v>
      </c>
      <c r="M105" t="str">
        <f t="shared" si="9"/>
        <v>Review</v>
      </c>
      <c r="N105" t="str">
        <f>clean_data!D214 &amp; " - " &amp; clean_data!C214</f>
        <v>Daynile - Fraud</v>
      </c>
    </row>
    <row r="106" spans="1:14">
      <c r="A106" t="s">
        <v>40</v>
      </c>
      <c r="B106" s="1">
        <v>46137</v>
      </c>
      <c r="C106" t="s">
        <v>8</v>
      </c>
      <c r="D106" t="s">
        <v>21</v>
      </c>
      <c r="E106" t="s">
        <v>315</v>
      </c>
      <c r="F106" t="s">
        <v>1</v>
      </c>
      <c r="G106" t="s">
        <v>6</v>
      </c>
      <c r="H106">
        <f t="shared" si="5"/>
        <v>2026</v>
      </c>
      <c r="I106">
        <f t="shared" si="6"/>
        <v>4</v>
      </c>
      <c r="J106" t="str">
        <f t="shared" si="7"/>
        <v>April</v>
      </c>
      <c r="K106" t="str">
        <f t="shared" si="8"/>
        <v>Needs Review</v>
      </c>
      <c r="L106" t="str">
        <f>IF(COUNTIF(A$2:A106,A106)&gt;1,"Duplicate","Unique")</f>
        <v>Unique</v>
      </c>
      <c r="M106" t="str">
        <f t="shared" si="9"/>
        <v>Review</v>
      </c>
      <c r="N106" t="str">
        <f>clean_data!D275 &amp; " - " &amp; clean_data!C275</f>
        <v>Yaqshid - Fraud</v>
      </c>
    </row>
    <row r="107" spans="1:14">
      <c r="A107" t="s">
        <v>89</v>
      </c>
      <c r="B107" s="1">
        <v>45714</v>
      </c>
      <c r="C107" t="s">
        <v>27</v>
      </c>
      <c r="D107" t="str">
        <f>IF(D91="Unknown","Hodan",D91)</f>
        <v>Hodan</v>
      </c>
      <c r="E107" t="s">
        <v>2</v>
      </c>
      <c r="F107" t="s">
        <v>11</v>
      </c>
      <c r="G107" t="str">
        <f>IF(G92="Unknown","High",G92)</f>
        <v>High</v>
      </c>
      <c r="H107">
        <f t="shared" si="5"/>
        <v>2025</v>
      </c>
      <c r="I107">
        <f t="shared" si="6"/>
        <v>2</v>
      </c>
      <c r="J107" t="str">
        <f t="shared" si="7"/>
        <v>February</v>
      </c>
      <c r="K107" t="str">
        <f t="shared" si="8"/>
        <v>OK</v>
      </c>
      <c r="L107" t="str">
        <f>IF(COUNTIF(A$2:A107,A107)&gt;1,"Duplicate","Unique")</f>
        <v>Unique</v>
      </c>
      <c r="M107" t="str">
        <f t="shared" si="9"/>
        <v>Ready</v>
      </c>
      <c r="N107" t="str">
        <f>clean_data!D225 &amp; " - " &amp; clean_data!C225</f>
        <v>Yaqshid - Fraud</v>
      </c>
    </row>
    <row r="108" spans="1:14">
      <c r="A108" t="s">
        <v>174</v>
      </c>
      <c r="B108" s="1">
        <v>45701</v>
      </c>
      <c r="C108" t="s">
        <v>22</v>
      </c>
      <c r="D108" t="s">
        <v>7</v>
      </c>
      <c r="E108" t="s">
        <v>2</v>
      </c>
      <c r="F108" t="s">
        <v>1</v>
      </c>
      <c r="G108" t="s">
        <v>15</v>
      </c>
      <c r="H108">
        <f t="shared" si="5"/>
        <v>2025</v>
      </c>
      <c r="I108">
        <f t="shared" si="6"/>
        <v>2</v>
      </c>
      <c r="J108" t="str">
        <f t="shared" si="7"/>
        <v>February</v>
      </c>
      <c r="K108" t="str">
        <f t="shared" si="8"/>
        <v>OK</v>
      </c>
      <c r="L108" t="str">
        <f>IF(COUNTIF(A$2:A108,A108)&gt;1,"Duplicate","Unique")</f>
        <v>Unique</v>
      </c>
      <c r="M108" t="str">
        <f t="shared" si="9"/>
        <v>Ready</v>
      </c>
      <c r="N108" t="str">
        <f>clean_data!D143 &amp; " - " &amp; clean_data!C143</f>
        <v>Yaqshid - Fraud</v>
      </c>
    </row>
    <row r="109" spans="1:14">
      <c r="A109" t="s">
        <v>226</v>
      </c>
      <c r="B109" s="1">
        <v>45831</v>
      </c>
      <c r="C109" t="s">
        <v>4</v>
      </c>
      <c r="D109" t="s">
        <v>3</v>
      </c>
      <c r="E109" t="s">
        <v>30</v>
      </c>
      <c r="F109" t="s">
        <v>1</v>
      </c>
      <c r="G109" t="s">
        <v>10</v>
      </c>
      <c r="H109">
        <f t="shared" si="5"/>
        <v>2025</v>
      </c>
      <c r="I109">
        <f t="shared" si="6"/>
        <v>6</v>
      </c>
      <c r="J109" t="str">
        <f t="shared" si="7"/>
        <v>June</v>
      </c>
      <c r="K109" t="str">
        <f t="shared" si="8"/>
        <v>Needs Review</v>
      </c>
      <c r="L109" t="str">
        <f>IF(COUNTIF(A$2:A109,A109)&gt;1,"Duplicate","Unique")</f>
        <v>Unique</v>
      </c>
      <c r="M109" t="str">
        <f t="shared" si="9"/>
        <v>Review</v>
      </c>
      <c r="N109" t="str">
        <f>clean_data!D87 &amp; " - " &amp; clean_data!C87</f>
        <v>Daynile - Theft</v>
      </c>
    </row>
    <row r="110" spans="1:14">
      <c r="A110" t="s">
        <v>83</v>
      </c>
      <c r="B110" s="1">
        <v>46157</v>
      </c>
      <c r="C110" t="str" cm="1">
        <f t="array" ref="C110">IF(C88="Unknown",INDEX(C$2:C$292,MODE(MATCH(C$2:C$292,C$2:C$292,0))),C88)</f>
        <v>Fraud</v>
      </c>
      <c r="D110" t="s">
        <v>33</v>
      </c>
      <c r="E110" t="s">
        <v>2</v>
      </c>
      <c r="F110" t="s">
        <v>1</v>
      </c>
      <c r="G110" t="s">
        <v>15</v>
      </c>
      <c r="H110">
        <f t="shared" si="5"/>
        <v>2026</v>
      </c>
      <c r="I110">
        <f t="shared" si="6"/>
        <v>5</v>
      </c>
      <c r="J110" t="str">
        <f t="shared" si="7"/>
        <v>May</v>
      </c>
      <c r="K110" t="str">
        <f t="shared" si="8"/>
        <v>OK</v>
      </c>
      <c r="L110" t="str">
        <f>IF(COUNTIF(A$2:A110,A110)&gt;1,"Duplicate","Unique")</f>
        <v>Unique</v>
      </c>
      <c r="M110" t="str">
        <f t="shared" si="9"/>
        <v>Ready</v>
      </c>
      <c r="N110" t="str">
        <f>clean_data!D232 &amp; " - " &amp; clean_data!C232</f>
        <v>Karan - Robbery</v>
      </c>
    </row>
    <row r="111" spans="1:14">
      <c r="A111" t="s">
        <v>304</v>
      </c>
      <c r="B111" s="1">
        <v>45705</v>
      </c>
      <c r="C111" t="s">
        <v>36</v>
      </c>
      <c r="D111" t="s">
        <v>7</v>
      </c>
      <c r="E111" t="s">
        <v>2</v>
      </c>
      <c r="F111" t="s">
        <v>16</v>
      </c>
      <c r="G111" t="s">
        <v>6</v>
      </c>
      <c r="H111">
        <f t="shared" si="5"/>
        <v>2025</v>
      </c>
      <c r="I111">
        <f t="shared" si="6"/>
        <v>2</v>
      </c>
      <c r="J111" t="str">
        <f t="shared" si="7"/>
        <v>February</v>
      </c>
      <c r="K111" t="str">
        <f t="shared" si="8"/>
        <v>OK</v>
      </c>
      <c r="L111" t="str">
        <f>IF(COUNTIF(A$2:A111,A111)&gt;1,"Duplicate","Unique")</f>
        <v>Unique</v>
      </c>
      <c r="M111" t="str">
        <f t="shared" si="9"/>
        <v>Ready</v>
      </c>
      <c r="N111" t="str">
        <f>clean_data!D5 &amp; " - " &amp; clean_data!C5</f>
        <v>Yaqshid - Assault</v>
      </c>
    </row>
    <row r="112" spans="1:14">
      <c r="A112" t="s">
        <v>156</v>
      </c>
      <c r="B112" s="1">
        <v>46066</v>
      </c>
      <c r="C112" t="s">
        <v>22</v>
      </c>
      <c r="D112" t="s">
        <v>21</v>
      </c>
      <c r="E112" t="s">
        <v>2</v>
      </c>
      <c r="F112" t="s">
        <v>1</v>
      </c>
      <c r="G112" t="s">
        <v>15</v>
      </c>
      <c r="H112">
        <f t="shared" si="5"/>
        <v>2026</v>
      </c>
      <c r="I112">
        <f t="shared" si="6"/>
        <v>2</v>
      </c>
      <c r="J112" t="str">
        <f t="shared" si="7"/>
        <v>February</v>
      </c>
      <c r="K112" t="str">
        <f t="shared" si="8"/>
        <v>OK</v>
      </c>
      <c r="L112" t="str">
        <f>IF(COUNTIF(A$2:A112,A112)&gt;1,"Duplicate","Unique")</f>
        <v>Unique</v>
      </c>
      <c r="M112" t="str">
        <f t="shared" si="9"/>
        <v>Ready</v>
      </c>
      <c r="N112" t="str">
        <f>clean_data!D161 &amp; " - " &amp; clean_data!C161</f>
        <v>Karan - Fraud</v>
      </c>
    </row>
    <row r="113" spans="1:14">
      <c r="A113" t="s">
        <v>160</v>
      </c>
      <c r="B113" s="1">
        <v>45727</v>
      </c>
      <c r="C113" t="s">
        <v>36</v>
      </c>
      <c r="D113" t="str">
        <f>IF(D97="Unknown","Hodan",D97)</f>
        <v>Hodan</v>
      </c>
      <c r="E113" t="s">
        <v>2</v>
      </c>
      <c r="F113" t="s">
        <v>11</v>
      </c>
      <c r="G113" t="s">
        <v>6</v>
      </c>
      <c r="H113">
        <f t="shared" si="5"/>
        <v>2025</v>
      </c>
      <c r="I113">
        <f t="shared" si="6"/>
        <v>3</v>
      </c>
      <c r="J113" t="str">
        <f t="shared" si="7"/>
        <v>March</v>
      </c>
      <c r="K113" t="str">
        <f t="shared" si="8"/>
        <v>OK</v>
      </c>
      <c r="L113" t="str">
        <f>IF(COUNTIF(A$2:A113,A113)&gt;1,"Duplicate","Unique")</f>
        <v>Unique</v>
      </c>
      <c r="M113" t="str">
        <f t="shared" si="9"/>
        <v>Ready</v>
      </c>
      <c r="N113" t="str">
        <f>clean_data!D157 &amp; " - " &amp; clean_data!C157</f>
        <v>Wadajir - Theft</v>
      </c>
    </row>
    <row r="114" spans="1:14">
      <c r="A114" t="s">
        <v>57</v>
      </c>
      <c r="B114" s="1">
        <v>46182</v>
      </c>
      <c r="C114" t="s">
        <v>27</v>
      </c>
      <c r="D114" t="s">
        <v>7</v>
      </c>
      <c r="E114" t="s">
        <v>2</v>
      </c>
      <c r="F114" t="s">
        <v>11</v>
      </c>
      <c r="G114" t="s">
        <v>15</v>
      </c>
      <c r="H114">
        <f t="shared" si="5"/>
        <v>2026</v>
      </c>
      <c r="I114">
        <f t="shared" si="6"/>
        <v>6</v>
      </c>
      <c r="J114" t="str">
        <f t="shared" si="7"/>
        <v>June</v>
      </c>
      <c r="K114" t="str">
        <f t="shared" si="8"/>
        <v>OK</v>
      </c>
      <c r="L114" t="str">
        <f>IF(COUNTIF(A$2:A114,A114)&gt;1,"Duplicate","Unique")</f>
        <v>Unique</v>
      </c>
      <c r="M114" t="str">
        <f t="shared" si="9"/>
        <v>Ready</v>
      </c>
      <c r="N114" t="str">
        <f>clean_data!D259 &amp; " - " &amp; clean_data!C259</f>
        <v>Hodan - Robbery</v>
      </c>
    </row>
    <row r="115" spans="1:14">
      <c r="A115" t="s">
        <v>259</v>
      </c>
      <c r="B115" s="1">
        <v>45765</v>
      </c>
      <c r="C115" t="s">
        <v>27</v>
      </c>
      <c r="D115" t="s">
        <v>21</v>
      </c>
      <c r="E115" t="s">
        <v>12</v>
      </c>
      <c r="F115" t="s">
        <v>11</v>
      </c>
      <c r="G115" t="str">
        <f>IF(G100="Unknown","High",G100)</f>
        <v>High</v>
      </c>
      <c r="H115">
        <f t="shared" si="5"/>
        <v>2025</v>
      </c>
      <c r="I115">
        <f t="shared" si="6"/>
        <v>4</v>
      </c>
      <c r="J115" t="str">
        <f t="shared" si="7"/>
        <v>April</v>
      </c>
      <c r="K115" t="str">
        <f t="shared" si="8"/>
        <v>OK</v>
      </c>
      <c r="L115" t="str">
        <f>IF(COUNTIF(A$2:A115,A115)&gt;1,"Duplicate","Unique")</f>
        <v>Unique</v>
      </c>
      <c r="M115" t="str">
        <f t="shared" si="9"/>
        <v>Ready</v>
      </c>
      <c r="N115" t="str">
        <f>clean_data!D53 &amp; " - " &amp; clean_data!C53</f>
        <v>Waberi - Theft</v>
      </c>
    </row>
    <row r="116" spans="1:14">
      <c r="A116" t="s">
        <v>171</v>
      </c>
      <c r="B116" s="1">
        <f>IF(B2="Unknown",MEDIAN($B$2:$B$292),B2)</f>
        <v>46215</v>
      </c>
      <c r="C116" t="s">
        <v>36</v>
      </c>
      <c r="D116" t="str">
        <f>IF(D100="Unknown","Hodan",D100)</f>
        <v>Hodan</v>
      </c>
      <c r="E116" t="s">
        <v>2</v>
      </c>
      <c r="F116" t="s">
        <v>1</v>
      </c>
      <c r="G116" t="s">
        <v>6</v>
      </c>
      <c r="H116">
        <f t="shared" si="5"/>
        <v>2026</v>
      </c>
      <c r="I116">
        <f t="shared" si="6"/>
        <v>7</v>
      </c>
      <c r="J116" t="str">
        <f t="shared" si="7"/>
        <v>July</v>
      </c>
      <c r="K116" t="str">
        <f t="shared" si="8"/>
        <v>OK</v>
      </c>
      <c r="L116" t="str">
        <f>IF(COUNTIF(A$2:A116,A116)&gt;1,"Duplicate","Unique")</f>
        <v>Unique</v>
      </c>
      <c r="M116" t="str">
        <f t="shared" si="9"/>
        <v>Ready</v>
      </c>
      <c r="N116" t="str">
        <f>clean_data!D147 &amp; " - " &amp; clean_data!C147</f>
        <v>Yaqshid - Assault</v>
      </c>
    </row>
    <row r="117" spans="1:14">
      <c r="A117" t="s">
        <v>38</v>
      </c>
      <c r="B117" s="1">
        <v>45804</v>
      </c>
      <c r="C117" t="s">
        <v>8</v>
      </c>
      <c r="D117" t="s">
        <v>7</v>
      </c>
      <c r="E117" t="s">
        <v>2</v>
      </c>
      <c r="F117" t="s">
        <v>1</v>
      </c>
      <c r="G117" t="s">
        <v>6</v>
      </c>
      <c r="H117">
        <f t="shared" si="5"/>
        <v>2025</v>
      </c>
      <c r="I117">
        <f t="shared" si="6"/>
        <v>5</v>
      </c>
      <c r="J117" t="str">
        <f t="shared" si="7"/>
        <v>May</v>
      </c>
      <c r="K117" t="str">
        <f t="shared" si="8"/>
        <v>OK</v>
      </c>
      <c r="L117" t="str">
        <f>IF(COUNTIF(A$2:A117,A117)&gt;1,"Duplicate","Unique")</f>
        <v>Unique</v>
      </c>
      <c r="M117" t="str">
        <f t="shared" si="9"/>
        <v>Ready</v>
      </c>
      <c r="N117" t="str">
        <f>clean_data!D277 &amp; " - " &amp; clean_data!C277</f>
        <v>Waberi - Theft</v>
      </c>
    </row>
    <row r="118" spans="1:14">
      <c r="A118" t="s">
        <v>221</v>
      </c>
      <c r="B118" s="1">
        <v>45853</v>
      </c>
      <c r="C118" t="str" cm="1">
        <f t="array" ref="C118">IF(C96="Unknown",INDEX(C$2:C$292,MODE(MATCH(C$2:C$292,C$2:C$292,0))),C96)</f>
        <v>Assault</v>
      </c>
      <c r="D118" t="s">
        <v>3</v>
      </c>
      <c r="E118" t="s">
        <v>2</v>
      </c>
      <c r="F118" t="s">
        <v>16</v>
      </c>
      <c r="G118" t="s">
        <v>15</v>
      </c>
      <c r="H118">
        <f t="shared" si="5"/>
        <v>2025</v>
      </c>
      <c r="I118">
        <f t="shared" si="6"/>
        <v>7</v>
      </c>
      <c r="J118" t="str">
        <f t="shared" si="7"/>
        <v>July</v>
      </c>
      <c r="K118" t="str">
        <f t="shared" si="8"/>
        <v>OK</v>
      </c>
      <c r="L118" t="str">
        <f>IF(COUNTIF(A$2:A118,A118)&gt;1,"Duplicate","Unique")</f>
        <v>Unique</v>
      </c>
      <c r="M118" t="str">
        <f t="shared" si="9"/>
        <v>Ready</v>
      </c>
      <c r="N118" t="str">
        <f>clean_data!D93 &amp; " - " &amp; clean_data!C93</f>
        <v>Karan - Assault</v>
      </c>
    </row>
    <row r="119" spans="1:14">
      <c r="A119" t="s">
        <v>90</v>
      </c>
      <c r="B119" s="1">
        <v>45824</v>
      </c>
      <c r="C119" t="s">
        <v>27</v>
      </c>
      <c r="D119" t="s">
        <v>7</v>
      </c>
      <c r="E119" t="s">
        <v>12</v>
      </c>
      <c r="F119" t="s">
        <v>16</v>
      </c>
      <c r="G119" t="s">
        <v>15</v>
      </c>
      <c r="H119">
        <f t="shared" si="5"/>
        <v>2025</v>
      </c>
      <c r="I119">
        <f t="shared" si="6"/>
        <v>6</v>
      </c>
      <c r="J119" t="str">
        <f t="shared" si="7"/>
        <v>June</v>
      </c>
      <c r="K119" t="str">
        <f t="shared" si="8"/>
        <v>OK</v>
      </c>
      <c r="L119" t="str">
        <f>IF(COUNTIF(A$2:A119,A119)&gt;1,"Duplicate","Unique")</f>
        <v>Unique</v>
      </c>
      <c r="M119" t="str">
        <f t="shared" si="9"/>
        <v>Ready</v>
      </c>
      <c r="N119" t="str">
        <f>clean_data!D134 &amp; " - " &amp; clean_data!C134</f>
        <v>Hodan - Theft</v>
      </c>
    </row>
    <row r="120" spans="1:14">
      <c r="A120" t="s">
        <v>41</v>
      </c>
      <c r="B120" s="1">
        <v>45901</v>
      </c>
      <c r="C120" t="s">
        <v>8</v>
      </c>
      <c r="D120" t="s">
        <v>13</v>
      </c>
      <c r="E120" t="s">
        <v>12</v>
      </c>
      <c r="F120" t="s">
        <v>16</v>
      </c>
      <c r="G120" t="s">
        <v>6</v>
      </c>
      <c r="H120">
        <f t="shared" si="5"/>
        <v>2025</v>
      </c>
      <c r="I120">
        <f t="shared" si="6"/>
        <v>9</v>
      </c>
      <c r="J120" t="str">
        <f t="shared" si="7"/>
        <v>September</v>
      </c>
      <c r="K120" t="str">
        <f t="shared" si="8"/>
        <v>OK</v>
      </c>
      <c r="L120" t="str">
        <f>IF(COUNTIF(A$2:A120,A120)&gt;1,"Duplicate","Unique")</f>
        <v>Unique</v>
      </c>
      <c r="M120" t="str">
        <f t="shared" si="9"/>
        <v>Ready</v>
      </c>
      <c r="N120" t="str">
        <f>clean_data!D274 &amp; " - " &amp; clean_data!C274</f>
        <v>Hodan - Assault</v>
      </c>
    </row>
    <row r="121" spans="1:14">
      <c r="A121" t="s">
        <v>118</v>
      </c>
      <c r="B121" s="1">
        <v>46055</v>
      </c>
      <c r="C121" t="s">
        <v>36</v>
      </c>
      <c r="D121" t="s">
        <v>7</v>
      </c>
      <c r="E121" t="s">
        <v>12</v>
      </c>
      <c r="F121" t="s">
        <v>16</v>
      </c>
      <c r="G121" t="s">
        <v>6</v>
      </c>
      <c r="H121">
        <f t="shared" si="5"/>
        <v>2026</v>
      </c>
      <c r="I121">
        <f t="shared" si="6"/>
        <v>2</v>
      </c>
      <c r="J121" t="str">
        <f t="shared" si="7"/>
        <v>February</v>
      </c>
      <c r="K121" t="str">
        <f t="shared" si="8"/>
        <v>OK</v>
      </c>
      <c r="L121" t="str">
        <f>IF(COUNTIF(A$2:A121,A121)&gt;1,"Duplicate","Unique")</f>
        <v>Unique</v>
      </c>
      <c r="M121" t="str">
        <f t="shared" si="9"/>
        <v>Ready</v>
      </c>
      <c r="N121" t="str">
        <f>clean_data!D199 &amp; " - " &amp; clean_data!C199</f>
        <v>Hodan - Robbery</v>
      </c>
    </row>
    <row r="122" spans="1:14">
      <c r="A122" t="s">
        <v>197</v>
      </c>
      <c r="B122" s="1">
        <v>45669</v>
      </c>
      <c r="C122" t="s">
        <v>4</v>
      </c>
      <c r="D122" t="s">
        <v>26</v>
      </c>
      <c r="E122" t="s">
        <v>12</v>
      </c>
      <c r="F122" t="s">
        <v>11</v>
      </c>
      <c r="G122" t="s">
        <v>10</v>
      </c>
      <c r="H122">
        <f t="shared" si="5"/>
        <v>2025</v>
      </c>
      <c r="I122">
        <f t="shared" si="6"/>
        <v>1</v>
      </c>
      <c r="J122" t="str">
        <f t="shared" si="7"/>
        <v>January</v>
      </c>
      <c r="K122" t="str">
        <f t="shared" si="8"/>
        <v>OK</v>
      </c>
      <c r="L122" t="str">
        <f>IF(COUNTIF(A$2:A122,A122)&gt;1,"Duplicate","Unique")</f>
        <v>Unique</v>
      </c>
      <c r="M122" t="str">
        <f t="shared" si="9"/>
        <v>Ready</v>
      </c>
      <c r="N122" t="str">
        <f>clean_data!D119 &amp; " - " &amp; clean_data!C119</f>
        <v>Wadajir - Theft</v>
      </c>
    </row>
    <row r="123" spans="1:14">
      <c r="A123" t="s">
        <v>25</v>
      </c>
      <c r="B123" s="1">
        <v>45970</v>
      </c>
      <c r="C123" t="s">
        <v>4</v>
      </c>
      <c r="D123" t="s">
        <v>3</v>
      </c>
      <c r="E123" t="s">
        <v>315</v>
      </c>
      <c r="F123" t="s">
        <v>1</v>
      </c>
      <c r="G123" t="s">
        <v>10</v>
      </c>
      <c r="H123">
        <f t="shared" si="5"/>
        <v>2025</v>
      </c>
      <c r="I123">
        <f t="shared" si="6"/>
        <v>11</v>
      </c>
      <c r="J123" t="str">
        <f t="shared" si="7"/>
        <v>November</v>
      </c>
      <c r="K123" t="str">
        <f t="shared" si="8"/>
        <v>Needs Review</v>
      </c>
      <c r="L123" t="str">
        <f>IF(COUNTIF(A$2:A123,A123)&gt;1,"Duplicate","Unique")</f>
        <v>Unique</v>
      </c>
      <c r="M123" t="str">
        <f t="shared" si="9"/>
        <v>Review</v>
      </c>
      <c r="N123" t="str">
        <f>clean_data!D284 &amp; " - " &amp; clean_data!C284</f>
        <v>Hodan - Assault</v>
      </c>
    </row>
    <row r="124" spans="1:14">
      <c r="A124" t="s">
        <v>198</v>
      </c>
      <c r="B124" s="1">
        <v>46030</v>
      </c>
      <c r="C124" t="str" cm="1">
        <f t="array" ref="C124">IF(C102="Unknown",INDEX(C$2:C$292,MODE(MATCH(C$2:C$292,C$2:C$292,0))),C102)</f>
        <v>Fraud</v>
      </c>
      <c r="D124" t="s">
        <v>33</v>
      </c>
      <c r="E124" t="s">
        <v>30</v>
      </c>
      <c r="F124" t="s">
        <v>16</v>
      </c>
      <c r="G124" t="s">
        <v>6</v>
      </c>
      <c r="H124">
        <f t="shared" si="5"/>
        <v>2026</v>
      </c>
      <c r="I124">
        <f t="shared" si="6"/>
        <v>1</v>
      </c>
      <c r="J124" t="str">
        <f t="shared" si="7"/>
        <v>January</v>
      </c>
      <c r="K124" t="str">
        <f t="shared" si="8"/>
        <v>Needs Review</v>
      </c>
      <c r="L124" t="str">
        <f>IF(COUNTIF(A$2:A124,A124)&gt;1,"Duplicate","Unique")</f>
        <v>Unique</v>
      </c>
      <c r="M124" t="str">
        <f t="shared" si="9"/>
        <v>Review</v>
      </c>
      <c r="N124" t="str">
        <f>clean_data!D117 &amp; " - " &amp; clean_data!C117</f>
        <v>Wadajir - Robbery</v>
      </c>
    </row>
    <row r="125" spans="1:14">
      <c r="A125" t="s">
        <v>158</v>
      </c>
      <c r="B125" s="1">
        <v>46223</v>
      </c>
      <c r="C125" t="s">
        <v>27</v>
      </c>
      <c r="D125" t="s">
        <v>26</v>
      </c>
      <c r="E125" t="s">
        <v>12</v>
      </c>
      <c r="F125" t="s">
        <v>1</v>
      </c>
      <c r="G125" t="s">
        <v>15</v>
      </c>
      <c r="H125">
        <f t="shared" si="5"/>
        <v>2026</v>
      </c>
      <c r="I125">
        <f t="shared" si="6"/>
        <v>7</v>
      </c>
      <c r="J125" t="str">
        <f t="shared" si="7"/>
        <v>July</v>
      </c>
      <c r="K125" t="str">
        <f t="shared" si="8"/>
        <v>OK</v>
      </c>
      <c r="L125" t="str">
        <f>IF(COUNTIF(A$2:A125,A125)&gt;1,"Duplicate","Unique")</f>
        <v>Unique</v>
      </c>
      <c r="M125" t="str">
        <f t="shared" si="9"/>
        <v>Ready</v>
      </c>
      <c r="N125" t="str">
        <f>clean_data!D159 &amp; " - " &amp; clean_data!C159</f>
        <v>Waberi - Assault</v>
      </c>
    </row>
    <row r="126" spans="1:14">
      <c r="A126" t="s">
        <v>179</v>
      </c>
      <c r="B126" s="1">
        <v>46025</v>
      </c>
      <c r="C126" t="s">
        <v>8</v>
      </c>
      <c r="D126" t="s">
        <v>33</v>
      </c>
      <c r="E126" t="s">
        <v>2</v>
      </c>
      <c r="F126" t="s">
        <v>1</v>
      </c>
      <c r="G126" t="s">
        <v>6</v>
      </c>
      <c r="H126">
        <f t="shared" si="5"/>
        <v>2026</v>
      </c>
      <c r="I126">
        <f t="shared" si="6"/>
        <v>1</v>
      </c>
      <c r="J126" t="str">
        <f t="shared" si="7"/>
        <v>January</v>
      </c>
      <c r="K126" t="str">
        <f t="shared" si="8"/>
        <v>OK</v>
      </c>
      <c r="L126" t="str">
        <f>IF(COUNTIF(A$2:A126,A126)&gt;1,"Duplicate","Unique")</f>
        <v>Unique</v>
      </c>
      <c r="M126" t="str">
        <f t="shared" si="9"/>
        <v>Ready</v>
      </c>
      <c r="N126" t="str">
        <f>clean_data!D139 &amp; " - " &amp; clean_data!C139</f>
        <v>Hodan - Theft</v>
      </c>
    </row>
    <row r="127" spans="1:14">
      <c r="A127" t="s">
        <v>150</v>
      </c>
      <c r="B127" s="1">
        <v>45857</v>
      </c>
      <c r="C127" t="s">
        <v>27</v>
      </c>
      <c r="D127" t="s">
        <v>26</v>
      </c>
      <c r="E127" t="s">
        <v>2</v>
      </c>
      <c r="F127" t="str" cm="1">
        <f t="array" ref="F127">IF(F109="Unknown",INDEX(F$2:F$292,MODE(MATCH(F$2:F$292,F$2:F$292,0))),F109)</f>
        <v>Closed</v>
      </c>
      <c r="G127" t="s">
        <v>15</v>
      </c>
      <c r="H127">
        <f t="shared" si="5"/>
        <v>2025</v>
      </c>
      <c r="I127">
        <f t="shared" si="6"/>
        <v>7</v>
      </c>
      <c r="J127" t="str">
        <f t="shared" si="7"/>
        <v>July</v>
      </c>
      <c r="K127" t="str">
        <f t="shared" si="8"/>
        <v>OK</v>
      </c>
      <c r="L127" t="str">
        <f>IF(COUNTIF(A$2:A127,A127)&gt;1,"Duplicate","Unique")</f>
        <v>Unique</v>
      </c>
      <c r="M127" t="str">
        <f t="shared" si="9"/>
        <v>Ready</v>
      </c>
      <c r="N127" t="str">
        <f>clean_data!D168 &amp; " - " &amp; clean_data!C168</f>
        <v>Karan - Traffic Offense</v>
      </c>
    </row>
    <row r="128" spans="1:14">
      <c r="A128" t="s">
        <v>243</v>
      </c>
      <c r="B128" s="1">
        <v>45845</v>
      </c>
      <c r="C128" t="s">
        <v>4</v>
      </c>
      <c r="D128" t="s">
        <v>7</v>
      </c>
      <c r="E128" t="s">
        <v>2</v>
      </c>
      <c r="F128" t="s">
        <v>1</v>
      </c>
      <c r="G128" t="s">
        <v>10</v>
      </c>
      <c r="H128">
        <f t="shared" si="5"/>
        <v>2025</v>
      </c>
      <c r="I128">
        <f t="shared" si="6"/>
        <v>7</v>
      </c>
      <c r="J128" t="str">
        <f t="shared" si="7"/>
        <v>July</v>
      </c>
      <c r="K128" t="str">
        <f t="shared" si="8"/>
        <v>OK</v>
      </c>
      <c r="L128" t="str">
        <f>IF(COUNTIF(A$2:A128,A128)&gt;1,"Duplicate","Unique")</f>
        <v>Unique</v>
      </c>
      <c r="M128" t="str">
        <f t="shared" si="9"/>
        <v>Ready</v>
      </c>
      <c r="N128" t="str">
        <f>clean_data!D70 &amp; " - " &amp; clean_data!C70</f>
        <v>Wadajir - Assault</v>
      </c>
    </row>
    <row r="129" spans="1:14">
      <c r="A129" t="s">
        <v>277</v>
      </c>
      <c r="B129" s="1">
        <v>46182</v>
      </c>
      <c r="C129" t="s">
        <v>27</v>
      </c>
      <c r="D129" t="s">
        <v>33</v>
      </c>
      <c r="E129" t="s">
        <v>315</v>
      </c>
      <c r="F129" t="s">
        <v>11</v>
      </c>
      <c r="G129" t="s">
        <v>15</v>
      </c>
      <c r="H129">
        <f t="shared" si="5"/>
        <v>2026</v>
      </c>
      <c r="I129">
        <f t="shared" si="6"/>
        <v>6</v>
      </c>
      <c r="J129" t="str">
        <f t="shared" si="7"/>
        <v>June</v>
      </c>
      <c r="K129" t="str">
        <f t="shared" si="8"/>
        <v>Needs Review</v>
      </c>
      <c r="L129" t="str">
        <f>IF(COUNTIF(A$2:A129,A129)&gt;1,"Duplicate","Unique")</f>
        <v>Unique</v>
      </c>
      <c r="M129" t="str">
        <f t="shared" si="9"/>
        <v>Review</v>
      </c>
      <c r="N129" t="str">
        <f>clean_data!D33 &amp; " - " &amp; clean_data!C33</f>
        <v>Hodan - Theft</v>
      </c>
    </row>
    <row r="130" spans="1:14">
      <c r="A130" t="s">
        <v>235</v>
      </c>
      <c r="B130" s="1">
        <v>45950</v>
      </c>
      <c r="C130" t="s">
        <v>31</v>
      </c>
      <c r="D130" t="s">
        <v>13</v>
      </c>
      <c r="E130" t="s">
        <v>12</v>
      </c>
      <c r="F130" t="s">
        <v>1</v>
      </c>
      <c r="G130" t="s">
        <v>15</v>
      </c>
      <c r="H130">
        <f t="shared" ref="H130:H193" si="10">IF(B130="","",YEAR(B130))</f>
        <v>2025</v>
      </c>
      <c r="I130">
        <f t="shared" ref="I130:I193" si="11">IF(B130="","",MONTH(B130))</f>
        <v>10</v>
      </c>
      <c r="J130" t="str">
        <f t="shared" ref="J130:J193" si="12">IF(B130="","",TEXT(B130,"mmmm"))</f>
        <v>October</v>
      </c>
      <c r="K130" t="str">
        <f t="shared" ref="K130:K193" si="13">IF(COUNTBLANK(A130:G130)+COUNTIF(A130:G130,"Unknown")+COUNTIF(A130:G130,"-")&gt;0,"Needs Review","OK")</f>
        <v>OK</v>
      </c>
      <c r="L130" t="str">
        <f>IF(COUNTIF(A$2:A130,A130)&gt;1,"Duplicate","Unique")</f>
        <v>Unique</v>
      </c>
      <c r="M130" t="str">
        <f t="shared" ref="M130:M193" si="14">IF(OR(K130="Needs Review",L130="Duplicate"),"Review","Ready")</f>
        <v>Ready</v>
      </c>
      <c r="N130" t="str">
        <f>clean_data!D78 &amp; " - " &amp; clean_data!C78</f>
        <v>Waberi - Theft</v>
      </c>
    </row>
    <row r="131" spans="1:14">
      <c r="A131" t="s">
        <v>84</v>
      </c>
      <c r="B131" s="1">
        <v>45997</v>
      </c>
      <c r="C131" t="s">
        <v>36</v>
      </c>
      <c r="D131" t="str">
        <f t="shared" ref="D131:D132" si="15">IF(D115="Unknown","Hodan",D115)</f>
        <v>Karan</v>
      </c>
      <c r="E131" t="s">
        <v>2</v>
      </c>
      <c r="F131" t="s">
        <v>11</v>
      </c>
      <c r="G131" t="s">
        <v>6</v>
      </c>
      <c r="H131">
        <f t="shared" si="10"/>
        <v>2025</v>
      </c>
      <c r="I131">
        <f t="shared" si="11"/>
        <v>12</v>
      </c>
      <c r="J131" t="str">
        <f t="shared" si="12"/>
        <v>December</v>
      </c>
      <c r="K131" t="str">
        <f t="shared" si="13"/>
        <v>OK</v>
      </c>
      <c r="L131" t="str">
        <f>IF(COUNTIF(A$2:A131,A131)&gt;1,"Duplicate","Unique")</f>
        <v>Unique</v>
      </c>
      <c r="M131" t="str">
        <f t="shared" si="14"/>
        <v>Ready</v>
      </c>
      <c r="N131" t="str">
        <f>clean_data!D231 &amp; " - " &amp; clean_data!C231</f>
        <v>Yaqshid - Fraud</v>
      </c>
    </row>
    <row r="132" spans="1:14">
      <c r="A132" t="s">
        <v>234</v>
      </c>
      <c r="B132" s="1">
        <v>45770</v>
      </c>
      <c r="C132" t="s">
        <v>36</v>
      </c>
      <c r="D132" t="str">
        <f t="shared" si="15"/>
        <v>Hodan</v>
      </c>
      <c r="E132" t="s">
        <v>2</v>
      </c>
      <c r="F132" t="s">
        <v>47</v>
      </c>
      <c r="G132" t="s">
        <v>6</v>
      </c>
      <c r="H132">
        <f t="shared" si="10"/>
        <v>2025</v>
      </c>
      <c r="I132">
        <f t="shared" si="11"/>
        <v>4</v>
      </c>
      <c r="J132" t="str">
        <f t="shared" si="12"/>
        <v>April</v>
      </c>
      <c r="K132" t="str">
        <f t="shared" si="13"/>
        <v>OK</v>
      </c>
      <c r="L132" t="str">
        <f>IF(COUNTIF(A$2:A132,A132)&gt;1,"Duplicate","Unique")</f>
        <v>Unique</v>
      </c>
      <c r="M132" t="str">
        <f t="shared" si="14"/>
        <v>Ready</v>
      </c>
      <c r="N132" t="str">
        <f>clean_data!D79 &amp; " - " &amp; clean_data!C79</f>
        <v>Waberi - Assault</v>
      </c>
    </row>
    <row r="133" spans="1:14">
      <c r="A133" t="s">
        <v>123</v>
      </c>
      <c r="B133" s="1">
        <v>45767</v>
      </c>
      <c r="C133" t="s">
        <v>31</v>
      </c>
      <c r="D133" t="s">
        <v>26</v>
      </c>
      <c r="E133" t="s">
        <v>2</v>
      </c>
      <c r="F133" t="s">
        <v>16</v>
      </c>
      <c r="G133" t="s">
        <v>15</v>
      </c>
      <c r="H133">
        <f t="shared" si="10"/>
        <v>2025</v>
      </c>
      <c r="I133">
        <f t="shared" si="11"/>
        <v>4</v>
      </c>
      <c r="J133" t="str">
        <f t="shared" si="12"/>
        <v>April</v>
      </c>
      <c r="K133" t="str">
        <f t="shared" si="13"/>
        <v>OK</v>
      </c>
      <c r="L133" t="str">
        <f>IF(COUNTIF(A$2:A133,A133)&gt;1,"Duplicate","Unique")</f>
        <v>Unique</v>
      </c>
      <c r="M133" t="str">
        <f t="shared" si="14"/>
        <v>Ready</v>
      </c>
      <c r="N133" t="str">
        <f>clean_data!D194 &amp; " - " &amp; clean_data!C194</f>
        <v>Yaqshid - Robbery</v>
      </c>
    </row>
    <row r="134" spans="1:14">
      <c r="A134" t="s">
        <v>248</v>
      </c>
      <c r="B134" s="1">
        <v>45826</v>
      </c>
      <c r="C134" t="s">
        <v>27</v>
      </c>
      <c r="D134" t="str">
        <f>IF(D118="Unknown","Hodan",D118)</f>
        <v>Hodan</v>
      </c>
      <c r="E134" t="s">
        <v>315</v>
      </c>
      <c r="F134" t="s">
        <v>1</v>
      </c>
      <c r="G134" t="s">
        <v>15</v>
      </c>
      <c r="H134">
        <f t="shared" si="10"/>
        <v>2025</v>
      </c>
      <c r="I134">
        <f t="shared" si="11"/>
        <v>6</v>
      </c>
      <c r="J134" t="str">
        <f t="shared" si="12"/>
        <v>June</v>
      </c>
      <c r="K134" t="str">
        <f t="shared" si="13"/>
        <v>Needs Review</v>
      </c>
      <c r="L134" t="str">
        <f>IF(COUNTIF(A$2:A134,A134)&gt;1,"Duplicate","Unique")</f>
        <v>Unique</v>
      </c>
      <c r="M134" t="str">
        <f t="shared" si="14"/>
        <v>Review</v>
      </c>
      <c r="N134" t="str">
        <f>clean_data!D65 &amp; " - " &amp; clean_data!C65</f>
        <v>Hodan - Assault</v>
      </c>
    </row>
    <row r="135" spans="1:14">
      <c r="A135" t="s">
        <v>162</v>
      </c>
      <c r="B135" s="1">
        <f>IF(B2="Unknown",MEDIAN($B$2:$B$292),B2)</f>
        <v>46215</v>
      </c>
      <c r="C135" t="s">
        <v>27</v>
      </c>
      <c r="D135" t="s">
        <v>3</v>
      </c>
      <c r="E135" t="s">
        <v>2</v>
      </c>
      <c r="F135" t="s">
        <v>1</v>
      </c>
      <c r="G135" t="s">
        <v>15</v>
      </c>
      <c r="H135">
        <f t="shared" si="10"/>
        <v>2026</v>
      </c>
      <c r="I135">
        <f t="shared" si="11"/>
        <v>7</v>
      </c>
      <c r="J135" t="str">
        <f t="shared" si="12"/>
        <v>July</v>
      </c>
      <c r="K135" t="str">
        <f t="shared" si="13"/>
        <v>OK</v>
      </c>
      <c r="L135" t="str">
        <f>IF(COUNTIF(A$2:A135,A135)&gt;1,"Duplicate","Unique")</f>
        <v>Unique</v>
      </c>
      <c r="M135" t="str">
        <f t="shared" si="14"/>
        <v>Ready</v>
      </c>
      <c r="N135" t="str">
        <f>clean_data!D155 &amp; " - " &amp; clean_data!C155</f>
        <v>Hodan - Theft</v>
      </c>
    </row>
    <row r="136" spans="1:14">
      <c r="A136" t="s">
        <v>145</v>
      </c>
      <c r="B136" s="1">
        <v>46133</v>
      </c>
      <c r="C136" t="s">
        <v>27</v>
      </c>
      <c r="D136" t="s">
        <v>21</v>
      </c>
      <c r="E136" t="s">
        <v>2</v>
      </c>
      <c r="F136" t="s">
        <v>16</v>
      </c>
      <c r="G136" t="s">
        <v>15</v>
      </c>
      <c r="H136">
        <f t="shared" si="10"/>
        <v>2026</v>
      </c>
      <c r="I136">
        <f t="shared" si="11"/>
        <v>4</v>
      </c>
      <c r="J136" t="str">
        <f t="shared" si="12"/>
        <v>April</v>
      </c>
      <c r="K136" t="str">
        <f t="shared" si="13"/>
        <v>OK</v>
      </c>
      <c r="L136" t="str">
        <f>IF(COUNTIF(A$2:A136,A136)&gt;1,"Duplicate","Unique")</f>
        <v>Unique</v>
      </c>
      <c r="M136" t="str">
        <f t="shared" si="14"/>
        <v>Ready</v>
      </c>
      <c r="N136" t="str">
        <f>clean_data!D145 &amp; " - " &amp; clean_data!C145</f>
        <v>Hodan - Assault</v>
      </c>
    </row>
    <row r="137" spans="1:14">
      <c r="A137" t="s">
        <v>191</v>
      </c>
      <c r="B137" s="1">
        <v>45690</v>
      </c>
      <c r="C137" t="s">
        <v>36</v>
      </c>
      <c r="D137" t="s">
        <v>7</v>
      </c>
      <c r="E137" t="s">
        <v>12</v>
      </c>
      <c r="F137" t="s">
        <v>16</v>
      </c>
      <c r="G137" t="s">
        <v>6</v>
      </c>
      <c r="H137">
        <f t="shared" si="10"/>
        <v>2025</v>
      </c>
      <c r="I137">
        <f t="shared" si="11"/>
        <v>2</v>
      </c>
      <c r="J137" t="str">
        <f t="shared" si="12"/>
        <v>February</v>
      </c>
      <c r="K137" t="str">
        <f t="shared" si="13"/>
        <v>OK</v>
      </c>
      <c r="L137" t="str">
        <f>IF(COUNTIF(A$2:A137,A137)&gt;1,"Duplicate","Unique")</f>
        <v>Unique</v>
      </c>
      <c r="M137" t="str">
        <f t="shared" si="14"/>
        <v>Ready</v>
      </c>
      <c r="N137" t="str">
        <f>clean_data!D125 &amp; " - " &amp; clean_data!C125</f>
        <v>Yaqshid - Theft</v>
      </c>
    </row>
    <row r="138" spans="1:14">
      <c r="A138" t="s">
        <v>133</v>
      </c>
      <c r="B138" s="1">
        <v>46155</v>
      </c>
      <c r="C138" t="s">
        <v>4</v>
      </c>
      <c r="D138" t="s">
        <v>7</v>
      </c>
      <c r="E138" t="s">
        <v>12</v>
      </c>
      <c r="F138" t="s">
        <v>1</v>
      </c>
      <c r="G138" t="s">
        <v>10</v>
      </c>
      <c r="H138">
        <f t="shared" si="10"/>
        <v>2026</v>
      </c>
      <c r="I138">
        <f t="shared" si="11"/>
        <v>5</v>
      </c>
      <c r="J138" t="str">
        <f t="shared" si="12"/>
        <v>May</v>
      </c>
      <c r="K138" t="str">
        <f t="shared" si="13"/>
        <v>OK</v>
      </c>
      <c r="L138" t="str">
        <f>IF(COUNTIF(A$2:A138,A138)&gt;1,"Duplicate","Unique")</f>
        <v>Unique</v>
      </c>
      <c r="M138" t="str">
        <f t="shared" si="14"/>
        <v>Ready</v>
      </c>
      <c r="N138" t="str">
        <f>clean_data!D183 &amp; " - " &amp; clean_data!C183</f>
        <v>Hodan - Theft</v>
      </c>
    </row>
    <row r="139" spans="1:14">
      <c r="A139" t="s">
        <v>252</v>
      </c>
      <c r="B139" s="1">
        <v>46172</v>
      </c>
      <c r="C139" t="s">
        <v>27</v>
      </c>
      <c r="D139" t="s">
        <v>3</v>
      </c>
      <c r="E139" t="s">
        <v>2</v>
      </c>
      <c r="F139" t="s">
        <v>16</v>
      </c>
      <c r="G139" t="s">
        <v>15</v>
      </c>
      <c r="H139">
        <f t="shared" si="10"/>
        <v>2026</v>
      </c>
      <c r="I139">
        <f t="shared" si="11"/>
        <v>5</v>
      </c>
      <c r="J139" t="str">
        <f t="shared" si="12"/>
        <v>May</v>
      </c>
      <c r="K139" t="str">
        <f t="shared" si="13"/>
        <v>OK</v>
      </c>
      <c r="L139" t="str">
        <f>IF(COUNTIF(A$2:A139,A139)&gt;1,"Duplicate","Unique")</f>
        <v>Unique</v>
      </c>
      <c r="M139" t="str">
        <f t="shared" si="14"/>
        <v>Ready</v>
      </c>
      <c r="N139" t="str">
        <f>clean_data!D60 &amp; " - " &amp; clean_data!C60</f>
        <v>Daynile - Assault</v>
      </c>
    </row>
    <row r="140" spans="1:14">
      <c r="A140" t="s">
        <v>32</v>
      </c>
      <c r="B140" s="1">
        <v>45806</v>
      </c>
      <c r="C140" t="s">
        <v>31</v>
      </c>
      <c r="D140" t="s">
        <v>7</v>
      </c>
      <c r="E140" t="s">
        <v>30</v>
      </c>
      <c r="F140" t="s">
        <v>11</v>
      </c>
      <c r="G140" t="s">
        <v>15</v>
      </c>
      <c r="H140">
        <f t="shared" si="10"/>
        <v>2025</v>
      </c>
      <c r="I140">
        <f t="shared" si="11"/>
        <v>5</v>
      </c>
      <c r="J140" t="str">
        <f t="shared" si="12"/>
        <v>May</v>
      </c>
      <c r="K140" t="str">
        <f t="shared" si="13"/>
        <v>Needs Review</v>
      </c>
      <c r="L140" t="str">
        <f>IF(COUNTIF(A$2:A140,A140)&gt;1,"Duplicate","Unique")</f>
        <v>Unique</v>
      </c>
      <c r="M140" t="str">
        <f t="shared" si="14"/>
        <v>Review</v>
      </c>
      <c r="N140" t="str">
        <f>clean_data!D166 &amp; " - " &amp; clean_data!C166</f>
        <v>Karan - Robbery</v>
      </c>
    </row>
    <row r="141" spans="1:14">
      <c r="A141" t="s">
        <v>60</v>
      </c>
      <c r="B141" s="1">
        <v>45668</v>
      </c>
      <c r="C141" t="s">
        <v>22</v>
      </c>
      <c r="D141" t="s">
        <v>3</v>
      </c>
      <c r="E141" t="s">
        <v>2</v>
      </c>
      <c r="F141" t="str" cm="1">
        <f t="array" ref="F141">IF(F123="Unknown",INDEX(F$2:F$292,MODE(MATCH(F$2:F$292,F$2:F$292,0))),F123)</f>
        <v>Closed</v>
      </c>
      <c r="G141" t="s">
        <v>15</v>
      </c>
      <c r="H141">
        <f t="shared" si="10"/>
        <v>2025</v>
      </c>
      <c r="I141">
        <f t="shared" si="11"/>
        <v>1</v>
      </c>
      <c r="J141" t="str">
        <f t="shared" si="12"/>
        <v>January</v>
      </c>
      <c r="K141" t="str">
        <f t="shared" si="13"/>
        <v>OK</v>
      </c>
      <c r="L141" t="str">
        <f>IF(COUNTIF(A$2:A141,A141)&gt;1,"Duplicate","Unique")</f>
        <v>Unique</v>
      </c>
      <c r="M141" t="str">
        <f t="shared" si="14"/>
        <v>Ready</v>
      </c>
      <c r="N141" t="str">
        <f>clean_data!D256 &amp; " - " &amp; clean_data!C256</f>
        <v>Hodan - Fraud</v>
      </c>
    </row>
    <row r="142" spans="1:14">
      <c r="A142" t="s">
        <v>52</v>
      </c>
      <c r="B142" s="1">
        <v>45977</v>
      </c>
      <c r="C142" t="s">
        <v>27</v>
      </c>
      <c r="D142" t="s">
        <v>26</v>
      </c>
      <c r="E142" t="s">
        <v>2</v>
      </c>
      <c r="F142" t="s">
        <v>16</v>
      </c>
      <c r="G142" t="str">
        <f>IF(G127="Unknown","High",G127)</f>
        <v>Medium</v>
      </c>
      <c r="H142">
        <f t="shared" si="10"/>
        <v>2025</v>
      </c>
      <c r="I142">
        <f t="shared" si="11"/>
        <v>11</v>
      </c>
      <c r="J142" t="str">
        <f t="shared" si="12"/>
        <v>November</v>
      </c>
      <c r="K142" t="str">
        <f t="shared" si="13"/>
        <v>OK</v>
      </c>
      <c r="L142" t="str">
        <f>IF(COUNTIF(A$2:A142,A142)&gt;1,"Duplicate","Unique")</f>
        <v>Unique</v>
      </c>
      <c r="M142" t="str">
        <f t="shared" si="14"/>
        <v>Ready</v>
      </c>
      <c r="N142" t="str">
        <f>clean_data!D263 &amp; " - " &amp; clean_data!C263</f>
        <v>Wadajir - Fraud</v>
      </c>
    </row>
    <row r="143" spans="1:14">
      <c r="A143" t="s">
        <v>155</v>
      </c>
      <c r="B143" s="1">
        <v>45935</v>
      </c>
      <c r="C143" t="s">
        <v>31</v>
      </c>
      <c r="D143" t="s">
        <v>26</v>
      </c>
      <c r="E143" t="s">
        <v>315</v>
      </c>
      <c r="F143" t="s">
        <v>11</v>
      </c>
      <c r="G143" t="s">
        <v>15</v>
      </c>
      <c r="H143">
        <f t="shared" si="10"/>
        <v>2025</v>
      </c>
      <c r="I143">
        <f t="shared" si="11"/>
        <v>10</v>
      </c>
      <c r="J143" t="str">
        <f t="shared" si="12"/>
        <v>October</v>
      </c>
      <c r="K143" t="str">
        <f t="shared" si="13"/>
        <v>Needs Review</v>
      </c>
      <c r="L143" t="str">
        <f>IF(COUNTIF(A$2:A143,A143)&gt;1,"Duplicate","Unique")</f>
        <v>Unique</v>
      </c>
      <c r="M143" t="str">
        <f t="shared" si="14"/>
        <v>Review</v>
      </c>
      <c r="N143" t="str">
        <f>clean_data!D162 &amp; " - " &amp; clean_data!C162</f>
        <v>Wadajir - Theft</v>
      </c>
    </row>
    <row r="144" spans="1:14">
      <c r="A144" t="s">
        <v>257</v>
      </c>
      <c r="B144" s="1">
        <f>IF(B2="Unknown",MEDIAN($B$2:$B$292),B2)</f>
        <v>46215</v>
      </c>
      <c r="C144" t="s">
        <v>27</v>
      </c>
      <c r="D144" t="s">
        <v>7</v>
      </c>
      <c r="E144" t="s">
        <v>2</v>
      </c>
      <c r="F144" t="s">
        <v>1</v>
      </c>
      <c r="G144" t="s">
        <v>15</v>
      </c>
      <c r="H144">
        <f t="shared" si="10"/>
        <v>2026</v>
      </c>
      <c r="I144">
        <f t="shared" si="11"/>
        <v>7</v>
      </c>
      <c r="J144" t="str">
        <f t="shared" si="12"/>
        <v>July</v>
      </c>
      <c r="K144" t="str">
        <f t="shared" si="13"/>
        <v>OK</v>
      </c>
      <c r="L144" t="str">
        <f>IF(COUNTIF(A$2:A144,A144)&gt;1,"Duplicate","Unique")</f>
        <v>Unique</v>
      </c>
      <c r="M144" t="str">
        <f t="shared" si="14"/>
        <v>Ready</v>
      </c>
      <c r="N144" t="str">
        <f>clean_data!D55 &amp; " - " &amp; clean_data!C55</f>
        <v>Karan - Theft</v>
      </c>
    </row>
    <row r="145" spans="1:14">
      <c r="A145" t="s">
        <v>209</v>
      </c>
      <c r="B145" s="1">
        <v>46160</v>
      </c>
      <c r="C145" t="s">
        <v>36</v>
      </c>
      <c r="D145" t="s">
        <v>3</v>
      </c>
      <c r="E145" t="s">
        <v>2</v>
      </c>
      <c r="F145" t="s">
        <v>16</v>
      </c>
      <c r="G145" t="s">
        <v>6</v>
      </c>
      <c r="H145">
        <f t="shared" si="10"/>
        <v>2026</v>
      </c>
      <c r="I145">
        <f t="shared" si="11"/>
        <v>5</v>
      </c>
      <c r="J145" t="str">
        <f t="shared" si="12"/>
        <v>May</v>
      </c>
      <c r="K145" t="str">
        <f t="shared" si="13"/>
        <v>OK</v>
      </c>
      <c r="L145" t="str">
        <f>IF(COUNTIF(A$2:A145,A145)&gt;1,"Duplicate","Unique")</f>
        <v>Unique</v>
      </c>
      <c r="M145" t="str">
        <f t="shared" si="14"/>
        <v>Ready</v>
      </c>
      <c r="N145" t="str">
        <f>clean_data!D104 &amp; " - " &amp; clean_data!C104</f>
        <v>Karan - Assault</v>
      </c>
    </row>
    <row r="146" spans="1:14">
      <c r="A146" t="s">
        <v>272</v>
      </c>
      <c r="B146" s="1">
        <v>45957</v>
      </c>
      <c r="C146" t="s">
        <v>27</v>
      </c>
      <c r="D146" t="s">
        <v>21</v>
      </c>
      <c r="E146" t="s">
        <v>2</v>
      </c>
      <c r="F146" t="s">
        <v>11</v>
      </c>
      <c r="G146" t="str">
        <f>IF(G131="Unknown","High",G131)</f>
        <v>High</v>
      </c>
      <c r="H146">
        <f t="shared" si="10"/>
        <v>2025</v>
      </c>
      <c r="I146">
        <f t="shared" si="11"/>
        <v>10</v>
      </c>
      <c r="J146" t="str">
        <f t="shared" si="12"/>
        <v>October</v>
      </c>
      <c r="K146" t="str">
        <f t="shared" si="13"/>
        <v>OK</v>
      </c>
      <c r="L146" t="str">
        <f>IF(COUNTIF(A$2:A146,A146)&gt;1,"Duplicate","Unique")</f>
        <v>Unique</v>
      </c>
      <c r="M146" t="str">
        <f t="shared" si="14"/>
        <v>Ready</v>
      </c>
      <c r="N146" t="str">
        <f>clean_data!D39 &amp; " - " &amp; clean_data!C39</f>
        <v>Wadajir - Theft</v>
      </c>
    </row>
    <row r="147" spans="1:14">
      <c r="A147" t="s">
        <v>178</v>
      </c>
      <c r="B147" s="1">
        <v>45713</v>
      </c>
      <c r="C147" t="s">
        <v>36</v>
      </c>
      <c r="D147" t="s">
        <v>26</v>
      </c>
      <c r="E147" t="s">
        <v>2</v>
      </c>
      <c r="F147" t="s">
        <v>47</v>
      </c>
      <c r="G147" t="s">
        <v>6</v>
      </c>
      <c r="H147">
        <f t="shared" si="10"/>
        <v>2025</v>
      </c>
      <c r="I147">
        <f t="shared" si="11"/>
        <v>2</v>
      </c>
      <c r="J147" t="str">
        <f t="shared" si="12"/>
        <v>February</v>
      </c>
      <c r="K147" t="str">
        <f t="shared" si="13"/>
        <v>OK</v>
      </c>
      <c r="L147" t="str">
        <f>IF(COUNTIF(A$2:A147,A147)&gt;1,"Duplicate","Unique")</f>
        <v>Unique</v>
      </c>
      <c r="M147" t="str">
        <f t="shared" si="14"/>
        <v>Ready</v>
      </c>
      <c r="N147" t="str">
        <f>clean_data!D140 &amp; " - " &amp; clean_data!C140</f>
        <v>Wadajir - Fraud</v>
      </c>
    </row>
    <row r="148" spans="1:14">
      <c r="A148" t="s">
        <v>289</v>
      </c>
      <c r="B148" s="1">
        <v>45919</v>
      </c>
      <c r="C148" t="s">
        <v>36</v>
      </c>
      <c r="D148" t="s">
        <v>7</v>
      </c>
      <c r="E148" t="s">
        <v>2</v>
      </c>
      <c r="F148" t="s">
        <v>11</v>
      </c>
      <c r="G148" t="s">
        <v>6</v>
      </c>
      <c r="H148">
        <f t="shared" si="10"/>
        <v>2025</v>
      </c>
      <c r="I148">
        <f t="shared" si="11"/>
        <v>9</v>
      </c>
      <c r="J148" t="str">
        <f t="shared" si="12"/>
        <v>September</v>
      </c>
      <c r="K148" t="str">
        <f t="shared" si="13"/>
        <v>OK</v>
      </c>
      <c r="L148" t="str">
        <f>IF(COUNTIF(A$2:A148,A148)&gt;1,"Duplicate","Unique")</f>
        <v>Unique</v>
      </c>
      <c r="M148" t="str">
        <f t="shared" si="14"/>
        <v>Ready</v>
      </c>
      <c r="N148" t="str">
        <f>clean_data!D21 &amp; " - " &amp; clean_data!C21</f>
        <v>Karan - Fraud</v>
      </c>
    </row>
    <row r="149" spans="1:14">
      <c r="A149" t="s">
        <v>261</v>
      </c>
      <c r="B149" s="1">
        <v>46156</v>
      </c>
      <c r="C149" t="s">
        <v>8</v>
      </c>
      <c r="D149" t="s">
        <v>33</v>
      </c>
      <c r="E149" t="s">
        <v>12</v>
      </c>
      <c r="F149" t="s">
        <v>47</v>
      </c>
      <c r="G149" t="s">
        <v>6</v>
      </c>
      <c r="H149">
        <f t="shared" si="10"/>
        <v>2026</v>
      </c>
      <c r="I149">
        <f t="shared" si="11"/>
        <v>5</v>
      </c>
      <c r="J149" t="str">
        <f t="shared" si="12"/>
        <v>May</v>
      </c>
      <c r="K149" t="str">
        <f t="shared" si="13"/>
        <v>OK</v>
      </c>
      <c r="L149" t="str">
        <f>IF(COUNTIF(A$2:A149,A149)&gt;1,"Duplicate","Unique")</f>
        <v>Unique</v>
      </c>
      <c r="M149" t="str">
        <f t="shared" si="14"/>
        <v>Ready</v>
      </c>
      <c r="N149" t="str">
        <f>clean_data!D51 &amp; " - " &amp; clean_data!C51</f>
        <v>Wadajir - Assault</v>
      </c>
    </row>
    <row r="150" spans="1:14">
      <c r="A150" t="s">
        <v>169</v>
      </c>
      <c r="B150" s="1">
        <v>46209</v>
      </c>
      <c r="C150" t="s">
        <v>27</v>
      </c>
      <c r="D150" t="s">
        <v>13</v>
      </c>
      <c r="E150" t="s">
        <v>2</v>
      </c>
      <c r="F150" t="s">
        <v>1</v>
      </c>
      <c r="G150" t="str">
        <f>IF(G135="Unknown","High",G135)</f>
        <v>Medium</v>
      </c>
      <c r="H150">
        <f t="shared" si="10"/>
        <v>2026</v>
      </c>
      <c r="I150">
        <f t="shared" si="11"/>
        <v>7</v>
      </c>
      <c r="J150" t="str">
        <f t="shared" si="12"/>
        <v>July</v>
      </c>
      <c r="K150" t="str">
        <f t="shared" si="13"/>
        <v>OK</v>
      </c>
      <c r="L150" t="str">
        <f>IF(COUNTIF(A$2:A150,A150)&gt;1,"Duplicate","Unique")</f>
        <v>Unique</v>
      </c>
      <c r="M150" t="str">
        <f t="shared" si="14"/>
        <v>Ready</v>
      </c>
      <c r="N150" t="str">
        <f>clean_data!D149 &amp; " - " &amp; clean_data!C149</f>
        <v>Daynile - Robbery</v>
      </c>
    </row>
    <row r="151" spans="1:14">
      <c r="A151" t="s">
        <v>154</v>
      </c>
      <c r="B151" s="1">
        <v>46051</v>
      </c>
      <c r="C151" t="s">
        <v>36</v>
      </c>
      <c r="D151" t="s">
        <v>33</v>
      </c>
      <c r="E151" t="s">
        <v>2</v>
      </c>
      <c r="F151" t="s">
        <v>1</v>
      </c>
      <c r="G151" t="s">
        <v>6</v>
      </c>
      <c r="H151">
        <f t="shared" si="10"/>
        <v>2026</v>
      </c>
      <c r="I151">
        <f t="shared" si="11"/>
        <v>1</v>
      </c>
      <c r="J151" t="str">
        <f t="shared" si="12"/>
        <v>January</v>
      </c>
      <c r="K151" t="str">
        <f t="shared" si="13"/>
        <v>OK</v>
      </c>
      <c r="L151" t="str">
        <f>IF(COUNTIF(A$2:A151,A151)&gt;1,"Duplicate","Unique")</f>
        <v>Unique</v>
      </c>
      <c r="M151" t="str">
        <f t="shared" si="14"/>
        <v>Ready</v>
      </c>
      <c r="N151" t="str">
        <f>clean_data!D163 &amp; " - " &amp; clean_data!C163</f>
        <v>Hodan - Assault</v>
      </c>
    </row>
    <row r="152" spans="1:14">
      <c r="A152" t="s">
        <v>297</v>
      </c>
      <c r="B152" s="1">
        <v>46118</v>
      </c>
      <c r="C152" t="s">
        <v>27</v>
      </c>
      <c r="D152" t="s">
        <v>3</v>
      </c>
      <c r="E152" t="s">
        <v>30</v>
      </c>
      <c r="F152" t="s">
        <v>11</v>
      </c>
      <c r="G152" t="s">
        <v>15</v>
      </c>
      <c r="H152">
        <f t="shared" si="10"/>
        <v>2026</v>
      </c>
      <c r="I152">
        <f t="shared" si="11"/>
        <v>4</v>
      </c>
      <c r="J152" t="str">
        <f t="shared" si="12"/>
        <v>April</v>
      </c>
      <c r="K152" t="str">
        <f t="shared" si="13"/>
        <v>Needs Review</v>
      </c>
      <c r="L152" t="str">
        <f>IF(COUNTIF(A$2:A152,A152)&gt;1,"Duplicate","Unique")</f>
        <v>Unique</v>
      </c>
      <c r="M152" t="str">
        <f t="shared" si="14"/>
        <v>Review</v>
      </c>
      <c r="N152" t="str">
        <f>clean_data!D12 &amp; " - " &amp; clean_data!C12</f>
        <v>Waberi - Burglary</v>
      </c>
    </row>
    <row r="153" spans="1:14">
      <c r="A153" t="s">
        <v>182</v>
      </c>
      <c r="B153" s="1">
        <v>46055</v>
      </c>
      <c r="C153" t="s">
        <v>31</v>
      </c>
      <c r="D153" t="s">
        <v>26</v>
      </c>
      <c r="E153" t="s">
        <v>12</v>
      </c>
      <c r="F153" t="s">
        <v>1</v>
      </c>
      <c r="G153" t="str">
        <f>IF(G138="Unknown","High",G138)</f>
        <v>Low</v>
      </c>
      <c r="H153">
        <f t="shared" si="10"/>
        <v>2026</v>
      </c>
      <c r="I153">
        <f t="shared" si="11"/>
        <v>2</v>
      </c>
      <c r="J153" t="str">
        <f t="shared" si="12"/>
        <v>February</v>
      </c>
      <c r="K153" t="str">
        <f t="shared" si="13"/>
        <v>OK</v>
      </c>
      <c r="L153" t="str">
        <f>IF(COUNTIF(A$2:A153,A153)&gt;1,"Duplicate","Unique")</f>
        <v>Unique</v>
      </c>
      <c r="M153" t="str">
        <f t="shared" si="14"/>
        <v>Ready</v>
      </c>
      <c r="N153" t="str">
        <f>clean_data!D136 &amp; " - " &amp; clean_data!C136</f>
        <v>Karan - Theft</v>
      </c>
    </row>
    <row r="154" spans="1:14">
      <c r="A154" t="s">
        <v>227</v>
      </c>
      <c r="B154" s="1">
        <v>46018</v>
      </c>
      <c r="C154" t="s">
        <v>8</v>
      </c>
      <c r="D154" t="s">
        <v>13</v>
      </c>
      <c r="E154" t="s">
        <v>12</v>
      </c>
      <c r="F154" t="s">
        <v>1</v>
      </c>
      <c r="G154" t="s">
        <v>6</v>
      </c>
      <c r="H154">
        <f t="shared" si="10"/>
        <v>2025</v>
      </c>
      <c r="I154">
        <f t="shared" si="11"/>
        <v>12</v>
      </c>
      <c r="J154" t="str">
        <f t="shared" si="12"/>
        <v>December</v>
      </c>
      <c r="K154" t="str">
        <f t="shared" si="13"/>
        <v>OK</v>
      </c>
      <c r="L154" t="str">
        <f>IF(COUNTIF(A$2:A154,A154)&gt;1,"Duplicate","Unique")</f>
        <v>Unique</v>
      </c>
      <c r="M154" t="str">
        <f t="shared" si="14"/>
        <v>Ready</v>
      </c>
      <c r="N154" t="str">
        <f>clean_data!D86 &amp; " - " &amp; clean_data!C86</f>
        <v>Hodan - Theft</v>
      </c>
    </row>
    <row r="155" spans="1:14">
      <c r="A155" t="s">
        <v>157</v>
      </c>
      <c r="B155" s="1">
        <v>46037</v>
      </c>
      <c r="C155" t="s">
        <v>27</v>
      </c>
      <c r="D155" t="s">
        <v>3</v>
      </c>
      <c r="E155" t="s">
        <v>12</v>
      </c>
      <c r="F155" t="s">
        <v>1</v>
      </c>
      <c r="G155" t="s">
        <v>15</v>
      </c>
      <c r="H155">
        <f t="shared" si="10"/>
        <v>2026</v>
      </c>
      <c r="I155">
        <f t="shared" si="11"/>
        <v>1</v>
      </c>
      <c r="J155" t="str">
        <f t="shared" si="12"/>
        <v>January</v>
      </c>
      <c r="K155" t="str">
        <f t="shared" si="13"/>
        <v>OK</v>
      </c>
      <c r="L155" t="str">
        <f>IF(COUNTIF(A$2:A155,A155)&gt;1,"Duplicate","Unique")</f>
        <v>Unique</v>
      </c>
      <c r="M155" t="str">
        <f t="shared" si="14"/>
        <v>Ready</v>
      </c>
      <c r="N155" t="str">
        <f>clean_data!D160 &amp; " - " &amp; clean_data!C160</f>
        <v>Waberi - Fraud</v>
      </c>
    </row>
    <row r="156" spans="1:14">
      <c r="A156" t="s">
        <v>164</v>
      </c>
      <c r="B156" s="1">
        <v>46150</v>
      </c>
      <c r="C156" t="s">
        <v>27</v>
      </c>
      <c r="D156" t="s">
        <v>3</v>
      </c>
      <c r="E156" t="s">
        <v>2</v>
      </c>
      <c r="F156" t="s">
        <v>163</v>
      </c>
      <c r="G156" t="s">
        <v>15</v>
      </c>
      <c r="H156">
        <f t="shared" si="10"/>
        <v>2026</v>
      </c>
      <c r="I156">
        <f t="shared" si="11"/>
        <v>5</v>
      </c>
      <c r="J156" t="str">
        <f t="shared" si="12"/>
        <v>May</v>
      </c>
      <c r="K156" t="str">
        <f t="shared" si="13"/>
        <v>OK</v>
      </c>
      <c r="L156" t="str">
        <f>IF(COUNTIF(A$2:A156,A156)&gt;1,"Duplicate","Unique")</f>
        <v>Unique</v>
      </c>
      <c r="M156" t="str">
        <f t="shared" si="14"/>
        <v>Ready</v>
      </c>
      <c r="N156" t="str">
        <f>clean_data!D154 &amp; " - " &amp; clean_data!C154</f>
        <v>Waberi - Robbery</v>
      </c>
    </row>
    <row r="157" spans="1:14">
      <c r="A157" t="s">
        <v>117</v>
      </c>
      <c r="B157" s="1">
        <v>45850</v>
      </c>
      <c r="C157" t="s">
        <v>27</v>
      </c>
      <c r="D157" t="s">
        <v>7</v>
      </c>
      <c r="E157" t="s">
        <v>30</v>
      </c>
      <c r="F157" t="s">
        <v>1</v>
      </c>
      <c r="G157" t="s">
        <v>15</v>
      </c>
      <c r="H157">
        <f t="shared" si="10"/>
        <v>2025</v>
      </c>
      <c r="I157">
        <f t="shared" si="11"/>
        <v>7</v>
      </c>
      <c r="J157" t="str">
        <f t="shared" si="12"/>
        <v>July</v>
      </c>
      <c r="K157" t="str">
        <f t="shared" si="13"/>
        <v>Needs Review</v>
      </c>
      <c r="L157" t="str">
        <f>IF(COUNTIF(A$2:A157,A157)&gt;1,"Duplicate","Unique")</f>
        <v>Unique</v>
      </c>
      <c r="M157" t="str">
        <f t="shared" si="14"/>
        <v>Review</v>
      </c>
      <c r="N157" t="str">
        <f>clean_data!D200 &amp; " - " &amp; clean_data!C200</f>
        <v>Yaqshid - Theft</v>
      </c>
    </row>
    <row r="158" spans="1:14">
      <c r="A158" t="s">
        <v>67</v>
      </c>
      <c r="B158" s="1">
        <v>45876</v>
      </c>
      <c r="C158" t="s">
        <v>36</v>
      </c>
      <c r="D158" t="s">
        <v>3</v>
      </c>
      <c r="E158" t="s">
        <v>12</v>
      </c>
      <c r="F158" t="s">
        <v>16</v>
      </c>
      <c r="G158" t="s">
        <v>6</v>
      </c>
      <c r="H158">
        <f t="shared" si="10"/>
        <v>2025</v>
      </c>
      <c r="I158">
        <f t="shared" si="11"/>
        <v>8</v>
      </c>
      <c r="J158" t="str">
        <f t="shared" si="12"/>
        <v>August</v>
      </c>
      <c r="K158" t="str">
        <f t="shared" si="13"/>
        <v>OK</v>
      </c>
      <c r="L158" t="str">
        <f>IF(COUNTIF(A$2:A158,A158)&gt;1,"Duplicate","Unique")</f>
        <v>Unique</v>
      </c>
      <c r="M158" t="str">
        <f t="shared" si="14"/>
        <v>Ready</v>
      </c>
      <c r="N158" t="str">
        <f>clean_data!D249 &amp; " - " &amp; clean_data!C249</f>
        <v>Wadajir - Fraud</v>
      </c>
    </row>
    <row r="159" spans="1:14">
      <c r="A159" t="s">
        <v>173</v>
      </c>
      <c r="B159" s="1">
        <v>45850</v>
      </c>
      <c r="C159" t="s">
        <v>36</v>
      </c>
      <c r="D159" t="s">
        <v>13</v>
      </c>
      <c r="E159" t="s">
        <v>12</v>
      </c>
      <c r="F159" t="s">
        <v>16</v>
      </c>
      <c r="G159" t="s">
        <v>6</v>
      </c>
      <c r="H159">
        <f t="shared" si="10"/>
        <v>2025</v>
      </c>
      <c r="I159">
        <f t="shared" si="11"/>
        <v>7</v>
      </c>
      <c r="J159" t="str">
        <f t="shared" si="12"/>
        <v>July</v>
      </c>
      <c r="K159" t="str">
        <f t="shared" si="13"/>
        <v>OK</v>
      </c>
      <c r="L159" t="str">
        <f>IF(COUNTIF(A$2:A159,A159)&gt;1,"Duplicate","Unique")</f>
        <v>Unique</v>
      </c>
      <c r="M159" t="str">
        <f t="shared" si="14"/>
        <v>Ready</v>
      </c>
      <c r="N159" t="str">
        <f>clean_data!D144 &amp; " - " &amp; clean_data!C144</f>
        <v>Wadajir - Theft</v>
      </c>
    </row>
    <row r="160" spans="1:14">
      <c r="A160" t="s">
        <v>165</v>
      </c>
      <c r="B160" s="1">
        <v>45877</v>
      </c>
      <c r="C160" t="s">
        <v>31</v>
      </c>
      <c r="D160" t="s">
        <v>13</v>
      </c>
      <c r="E160" t="s">
        <v>12</v>
      </c>
      <c r="F160" t="s">
        <v>1</v>
      </c>
      <c r="G160" t="s">
        <v>15</v>
      </c>
      <c r="H160">
        <f t="shared" si="10"/>
        <v>2025</v>
      </c>
      <c r="I160">
        <f t="shared" si="11"/>
        <v>8</v>
      </c>
      <c r="J160" t="str">
        <f t="shared" si="12"/>
        <v>August</v>
      </c>
      <c r="K160" t="str">
        <f t="shared" si="13"/>
        <v>OK</v>
      </c>
      <c r="L160" t="str">
        <f>IF(COUNTIF(A$2:A160,A160)&gt;1,"Duplicate","Unique")</f>
        <v>Unique</v>
      </c>
      <c r="M160" t="str">
        <f t="shared" si="14"/>
        <v>Ready</v>
      </c>
      <c r="N160" t="str">
        <f>clean_data!D153 &amp; " - " &amp; clean_data!C153</f>
        <v>Yaqshid - Fraud</v>
      </c>
    </row>
    <row r="161" spans="1:14">
      <c r="A161" t="s">
        <v>44</v>
      </c>
      <c r="B161" s="1">
        <v>46079</v>
      </c>
      <c r="C161" t="s">
        <v>31</v>
      </c>
      <c r="D161" t="s">
        <v>21</v>
      </c>
      <c r="E161" t="s">
        <v>30</v>
      </c>
      <c r="F161" t="s">
        <v>11</v>
      </c>
      <c r="G161" t="s">
        <v>15</v>
      </c>
      <c r="H161">
        <f t="shared" si="10"/>
        <v>2026</v>
      </c>
      <c r="I161">
        <f t="shared" si="11"/>
        <v>2</v>
      </c>
      <c r="J161" t="str">
        <f t="shared" si="12"/>
        <v>February</v>
      </c>
      <c r="K161" t="str">
        <f t="shared" si="13"/>
        <v>Needs Review</v>
      </c>
      <c r="L161" t="str">
        <f>IF(COUNTIF(A$2:A161,A161)&gt;1,"Duplicate","Unique")</f>
        <v>Unique</v>
      </c>
      <c r="M161" t="str">
        <f t="shared" si="14"/>
        <v>Review</v>
      </c>
      <c r="N161" t="str">
        <f>clean_data!D270 &amp; " - " &amp; clean_data!C270</f>
        <v>Waberi - Robbery</v>
      </c>
    </row>
    <row r="162" spans="1:14">
      <c r="A162" t="s">
        <v>305</v>
      </c>
      <c r="B162" s="1">
        <v>46168</v>
      </c>
      <c r="C162" t="s">
        <v>27</v>
      </c>
      <c r="D162" t="s">
        <v>7</v>
      </c>
      <c r="E162" t="s">
        <v>12</v>
      </c>
      <c r="F162" t="str" cm="1">
        <f t="array" ref="F162">IF(F144="Unknown",INDEX(F$2:F$292,MODE(MATCH(F$2:F$292,F$2:F$292,0))),F144)</f>
        <v>Closed</v>
      </c>
      <c r="G162" t="s">
        <v>15</v>
      </c>
      <c r="H162">
        <f t="shared" si="10"/>
        <v>2026</v>
      </c>
      <c r="I162">
        <f t="shared" si="11"/>
        <v>5</v>
      </c>
      <c r="J162" t="str">
        <f t="shared" si="12"/>
        <v>May</v>
      </c>
      <c r="K162" t="str">
        <f t="shared" si="13"/>
        <v>OK</v>
      </c>
      <c r="L162" t="str">
        <f>IF(COUNTIF(A$2:A162,A162)&gt;1,"Duplicate","Unique")</f>
        <v>Unique</v>
      </c>
      <c r="M162" t="str">
        <f t="shared" si="14"/>
        <v>Ready</v>
      </c>
      <c r="N162" t="str">
        <f>clean_data!D4 &amp; " - " &amp; clean_data!C4</f>
        <v>Daynile - Robbery</v>
      </c>
    </row>
    <row r="163" spans="1:14">
      <c r="A163" t="s">
        <v>219</v>
      </c>
      <c r="B163" s="1">
        <v>46087</v>
      </c>
      <c r="C163" t="s">
        <v>36</v>
      </c>
      <c r="D163" t="s">
        <v>3</v>
      </c>
      <c r="E163" t="s">
        <v>12</v>
      </c>
      <c r="F163" t="s">
        <v>16</v>
      </c>
      <c r="G163" t="s">
        <v>6</v>
      </c>
      <c r="H163">
        <f t="shared" si="10"/>
        <v>2026</v>
      </c>
      <c r="I163">
        <f t="shared" si="11"/>
        <v>3</v>
      </c>
      <c r="J163" t="str">
        <f t="shared" si="12"/>
        <v>March</v>
      </c>
      <c r="K163" t="str">
        <f t="shared" si="13"/>
        <v>OK</v>
      </c>
      <c r="L163" t="str">
        <f>IF(COUNTIF(A$2:A163,A163)&gt;1,"Duplicate","Unique")</f>
        <v>Unique</v>
      </c>
      <c r="M163" t="str">
        <f t="shared" si="14"/>
        <v>Ready</v>
      </c>
      <c r="N163" t="str">
        <f>clean_data!D94 &amp; " - " &amp; clean_data!C94</f>
        <v>Daynile - Fraud</v>
      </c>
    </row>
    <row r="164" spans="1:14">
      <c r="A164" t="s">
        <v>181</v>
      </c>
      <c r="B164" s="1">
        <f>IF(B135="Unknown",MEDIAN($B$2:$B$292),B135)</f>
        <v>46215</v>
      </c>
      <c r="C164" t="s">
        <v>22</v>
      </c>
      <c r="D164" t="s">
        <v>7</v>
      </c>
      <c r="E164" t="s">
        <v>12</v>
      </c>
      <c r="F164" t="s">
        <v>1</v>
      </c>
      <c r="G164" t="s">
        <v>15</v>
      </c>
      <c r="H164">
        <f t="shared" si="10"/>
        <v>2026</v>
      </c>
      <c r="I164">
        <f t="shared" si="11"/>
        <v>7</v>
      </c>
      <c r="J164" t="str">
        <f t="shared" si="12"/>
        <v>July</v>
      </c>
      <c r="K164" t="str">
        <f t="shared" si="13"/>
        <v>OK</v>
      </c>
      <c r="L164" t="str">
        <f>IF(COUNTIF(A$2:A164,A164)&gt;1,"Duplicate","Unique")</f>
        <v>Unique</v>
      </c>
      <c r="M164" t="str">
        <f t="shared" si="14"/>
        <v>Ready</v>
      </c>
      <c r="N164" t="str">
        <f>clean_data!D137 &amp; " - " &amp; clean_data!C137</f>
        <v>Wadajir - Assault</v>
      </c>
    </row>
    <row r="165" spans="1:14">
      <c r="A165" t="s">
        <v>276</v>
      </c>
      <c r="B165" s="1">
        <v>45671</v>
      </c>
      <c r="C165" t="s">
        <v>8</v>
      </c>
      <c r="D165" t="s">
        <v>7</v>
      </c>
      <c r="E165" t="s">
        <v>12</v>
      </c>
      <c r="F165" t="s">
        <v>11</v>
      </c>
      <c r="G165" t="s">
        <v>6</v>
      </c>
      <c r="H165">
        <f t="shared" si="10"/>
        <v>2025</v>
      </c>
      <c r="I165">
        <f t="shared" si="11"/>
        <v>1</v>
      </c>
      <c r="J165" t="str">
        <f t="shared" si="12"/>
        <v>January</v>
      </c>
      <c r="K165" t="str">
        <f t="shared" si="13"/>
        <v>OK</v>
      </c>
      <c r="L165" t="str">
        <f>IF(COUNTIF(A$2:A165,A165)&gt;1,"Duplicate","Unique")</f>
        <v>Unique</v>
      </c>
      <c r="M165" t="str">
        <f t="shared" si="14"/>
        <v>Ready</v>
      </c>
      <c r="N165" t="str">
        <f>clean_data!D34 &amp; " - " &amp; clean_data!C34</f>
        <v>Daynile - Theft</v>
      </c>
    </row>
    <row r="166" spans="1:14">
      <c r="A166" t="s">
        <v>103</v>
      </c>
      <c r="B166" s="1">
        <v>46152</v>
      </c>
      <c r="C166" t="s">
        <v>8</v>
      </c>
      <c r="D166" t="s">
        <v>21</v>
      </c>
      <c r="E166" t="s">
        <v>2</v>
      </c>
      <c r="F166" t="s">
        <v>47</v>
      </c>
      <c r="G166" t="s">
        <v>6</v>
      </c>
      <c r="H166">
        <f t="shared" si="10"/>
        <v>2026</v>
      </c>
      <c r="I166">
        <f t="shared" si="11"/>
        <v>5</v>
      </c>
      <c r="J166" t="str">
        <f t="shared" si="12"/>
        <v>May</v>
      </c>
      <c r="K166" t="str">
        <f t="shared" si="13"/>
        <v>OK</v>
      </c>
      <c r="L166" t="str">
        <f>IF(COUNTIF(A$2:A166,A166)&gt;1,"Duplicate","Unique")</f>
        <v>Unique</v>
      </c>
      <c r="M166" t="str">
        <f t="shared" si="14"/>
        <v>Ready</v>
      </c>
      <c r="N166" t="str">
        <f>clean_data!D213 &amp; " - " &amp; clean_data!C213</f>
        <v>Yaqshid - Burglary</v>
      </c>
    </row>
    <row r="167" spans="1:14">
      <c r="A167" t="s">
        <v>301</v>
      </c>
      <c r="B167" s="1">
        <v>46098</v>
      </c>
      <c r="C167" t="s">
        <v>27</v>
      </c>
      <c r="D167" t="s">
        <v>26</v>
      </c>
      <c r="E167" t="s">
        <v>12</v>
      </c>
      <c r="F167" t="s">
        <v>11</v>
      </c>
      <c r="G167" t="s">
        <v>15</v>
      </c>
      <c r="H167">
        <f t="shared" si="10"/>
        <v>2026</v>
      </c>
      <c r="I167">
        <f t="shared" si="11"/>
        <v>3</v>
      </c>
      <c r="J167" t="str">
        <f t="shared" si="12"/>
        <v>March</v>
      </c>
      <c r="K167" t="str">
        <f t="shared" si="13"/>
        <v>OK</v>
      </c>
      <c r="L167" t="str">
        <f>IF(COUNTIF(A$2:A167,A167)&gt;1,"Duplicate","Unique")</f>
        <v>Unique</v>
      </c>
      <c r="M167" t="str">
        <f t="shared" si="14"/>
        <v>Ready</v>
      </c>
      <c r="N167" t="str">
        <f>clean_data!D8 &amp; " - " &amp; clean_data!C8</f>
        <v>Wadajir - Theft</v>
      </c>
    </row>
    <row r="168" spans="1:14">
      <c r="A168" t="s">
        <v>210</v>
      </c>
      <c r="B168" s="1">
        <v>46154</v>
      </c>
      <c r="C168" t="s">
        <v>4</v>
      </c>
      <c r="D168" t="s">
        <v>21</v>
      </c>
      <c r="E168" t="s">
        <v>2</v>
      </c>
      <c r="F168" t="s">
        <v>47</v>
      </c>
      <c r="G168" t="s">
        <v>10</v>
      </c>
      <c r="H168">
        <f t="shared" si="10"/>
        <v>2026</v>
      </c>
      <c r="I168">
        <f t="shared" si="11"/>
        <v>5</v>
      </c>
      <c r="J168" t="str">
        <f t="shared" si="12"/>
        <v>May</v>
      </c>
      <c r="K168" t="str">
        <f t="shared" si="13"/>
        <v>OK</v>
      </c>
      <c r="L168" t="str">
        <f>IF(COUNTIF(A$2:A168,A168)&gt;1,"Duplicate","Unique")</f>
        <v>Unique</v>
      </c>
      <c r="M168" t="str">
        <f t="shared" si="14"/>
        <v>Ready</v>
      </c>
      <c r="N168" t="str">
        <f>clean_data!D103 &amp; " - " &amp; clean_data!C103</f>
        <v>Daynile - Assault</v>
      </c>
    </row>
    <row r="169" spans="1:14">
      <c r="A169" t="s">
        <v>149</v>
      </c>
      <c r="B169" s="1">
        <v>46019</v>
      </c>
      <c r="C169" t="s">
        <v>27</v>
      </c>
      <c r="D169" t="s">
        <v>26</v>
      </c>
      <c r="E169" t="s">
        <v>30</v>
      </c>
      <c r="F169" t="s">
        <v>1</v>
      </c>
      <c r="G169" t="s">
        <v>15</v>
      </c>
      <c r="H169">
        <f t="shared" si="10"/>
        <v>2025</v>
      </c>
      <c r="I169">
        <f t="shared" si="11"/>
        <v>12</v>
      </c>
      <c r="J169" t="str">
        <f t="shared" si="12"/>
        <v>December</v>
      </c>
      <c r="K169" t="str">
        <f t="shared" si="13"/>
        <v>Needs Review</v>
      </c>
      <c r="L169" t="str">
        <f>IF(COUNTIF(A$2:A169,A169)&gt;1,"Duplicate","Unique")</f>
        <v>Unique</v>
      </c>
      <c r="M169" t="str">
        <f t="shared" si="14"/>
        <v>Review</v>
      </c>
      <c r="N169" t="str">
        <f>clean_data!D169 &amp; " - " &amp; clean_data!C169</f>
        <v>Yaqshid - Theft</v>
      </c>
    </row>
    <row r="170" spans="1:14">
      <c r="A170" t="s">
        <v>108</v>
      </c>
      <c r="B170" s="1">
        <v>45723</v>
      </c>
      <c r="C170" t="s">
        <v>31</v>
      </c>
      <c r="D170" t="s">
        <v>26</v>
      </c>
      <c r="E170" t="s">
        <v>12</v>
      </c>
      <c r="F170" t="s">
        <v>16</v>
      </c>
      <c r="G170" t="s">
        <v>15</v>
      </c>
      <c r="H170">
        <f t="shared" si="10"/>
        <v>2025</v>
      </c>
      <c r="I170">
        <f t="shared" si="11"/>
        <v>3</v>
      </c>
      <c r="J170" t="str">
        <f t="shared" si="12"/>
        <v>March</v>
      </c>
      <c r="K170" t="str">
        <f t="shared" si="13"/>
        <v>OK</v>
      </c>
      <c r="L170" t="str">
        <f>IF(COUNTIF(A$2:A170,A170)&gt;1,"Duplicate","Unique")</f>
        <v>Unique</v>
      </c>
      <c r="M170" t="str">
        <f t="shared" si="14"/>
        <v>Ready</v>
      </c>
      <c r="N170" t="str">
        <f>clean_data!D208 &amp; " - " &amp; clean_data!C208</f>
        <v>Waberi - Theft</v>
      </c>
    </row>
    <row r="171" spans="1:14">
      <c r="A171" t="s">
        <v>224</v>
      </c>
      <c r="B171" s="1">
        <v>45866</v>
      </c>
      <c r="C171" t="s">
        <v>36</v>
      </c>
      <c r="D171" t="s">
        <v>3</v>
      </c>
      <c r="E171" t="s">
        <v>30</v>
      </c>
      <c r="F171" t="s">
        <v>16</v>
      </c>
      <c r="G171" t="str">
        <f>IF(G156="Unknown","High",G156)</f>
        <v>Medium</v>
      </c>
      <c r="H171">
        <f t="shared" si="10"/>
        <v>2025</v>
      </c>
      <c r="I171">
        <f t="shared" si="11"/>
        <v>7</v>
      </c>
      <c r="J171" t="str">
        <f t="shared" si="12"/>
        <v>July</v>
      </c>
      <c r="K171" t="str">
        <f t="shared" si="13"/>
        <v>Needs Review</v>
      </c>
      <c r="L171" t="str">
        <f>IF(COUNTIF(A$2:A171,A171)&gt;1,"Duplicate","Unique")</f>
        <v>Unique</v>
      </c>
      <c r="M171" t="str">
        <f t="shared" si="14"/>
        <v>Review</v>
      </c>
      <c r="N171" t="str">
        <f>clean_data!D89 &amp; " - " &amp; clean_data!C89</f>
        <v>Hodan - Assault</v>
      </c>
    </row>
    <row r="172" spans="1:14">
      <c r="A172" t="s">
        <v>187</v>
      </c>
      <c r="B172" s="1">
        <v>45845</v>
      </c>
      <c r="C172" t="s">
        <v>22</v>
      </c>
      <c r="D172" t="s">
        <v>21</v>
      </c>
      <c r="E172" t="s">
        <v>2</v>
      </c>
      <c r="F172" t="s">
        <v>1</v>
      </c>
      <c r="G172" t="s">
        <v>15</v>
      </c>
      <c r="H172">
        <f t="shared" si="10"/>
        <v>2025</v>
      </c>
      <c r="I172">
        <f t="shared" si="11"/>
        <v>7</v>
      </c>
      <c r="J172" t="str">
        <f t="shared" si="12"/>
        <v>July</v>
      </c>
      <c r="K172" t="str">
        <f t="shared" si="13"/>
        <v>OK</v>
      </c>
      <c r="L172" t="str">
        <f>IF(COUNTIF(A$2:A172,A172)&gt;1,"Duplicate","Unique")</f>
        <v>Unique</v>
      </c>
      <c r="M172" t="str">
        <f t="shared" si="14"/>
        <v>Ready</v>
      </c>
      <c r="N172" t="str">
        <f>clean_data!D129 &amp; " - " &amp; clean_data!C129</f>
        <v>Daynile - Theft</v>
      </c>
    </row>
    <row r="173" spans="1:14">
      <c r="A173" t="s">
        <v>183</v>
      </c>
      <c r="B173" s="1">
        <v>45748</v>
      </c>
      <c r="C173" t="s">
        <v>22</v>
      </c>
      <c r="D173" t="str">
        <f>IF(D157="Unknown","Hodan",D157)</f>
        <v>Wadajir</v>
      </c>
      <c r="E173" t="s">
        <v>12</v>
      </c>
      <c r="F173" t="s">
        <v>1</v>
      </c>
      <c r="G173" t="s">
        <v>15</v>
      </c>
      <c r="H173">
        <f t="shared" si="10"/>
        <v>2025</v>
      </c>
      <c r="I173">
        <f t="shared" si="11"/>
        <v>4</v>
      </c>
      <c r="J173" t="str">
        <f t="shared" si="12"/>
        <v>April</v>
      </c>
      <c r="K173" t="str">
        <f t="shared" si="13"/>
        <v>OK</v>
      </c>
      <c r="L173" t="str">
        <f>IF(COUNTIF(A$2:A173,A173)&gt;1,"Duplicate","Unique")</f>
        <v>Unique</v>
      </c>
      <c r="M173" t="str">
        <f t="shared" si="14"/>
        <v>Ready</v>
      </c>
      <c r="N173" t="str">
        <f>clean_data!D135 &amp; " - " &amp; clean_data!C135</f>
        <v>Hodan - Theft</v>
      </c>
    </row>
    <row r="174" spans="1:14">
      <c r="A174" t="s">
        <v>222</v>
      </c>
      <c r="B174" s="1">
        <v>46054</v>
      </c>
      <c r="C174" t="s">
        <v>36</v>
      </c>
      <c r="D174" t="s">
        <v>26</v>
      </c>
      <c r="E174" t="s">
        <v>12</v>
      </c>
      <c r="F174" t="s">
        <v>47</v>
      </c>
      <c r="G174" t="s">
        <v>6</v>
      </c>
      <c r="H174">
        <f t="shared" si="10"/>
        <v>2026</v>
      </c>
      <c r="I174">
        <f t="shared" si="11"/>
        <v>2</v>
      </c>
      <c r="J174" t="str">
        <f t="shared" si="12"/>
        <v>February</v>
      </c>
      <c r="K174" t="str">
        <f t="shared" si="13"/>
        <v>OK</v>
      </c>
      <c r="L174" t="str">
        <f>IF(COUNTIF(A$2:A174,A174)&gt;1,"Duplicate","Unique")</f>
        <v>Unique</v>
      </c>
      <c r="M174" t="str">
        <f t="shared" si="14"/>
        <v>Ready</v>
      </c>
      <c r="N174" t="str">
        <f>clean_data!D92 &amp; " - " &amp; clean_data!C92</f>
        <v>Hodan - Assault</v>
      </c>
    </row>
    <row r="175" spans="1:14">
      <c r="A175" t="s">
        <v>223</v>
      </c>
      <c r="B175" s="1">
        <v>46199</v>
      </c>
      <c r="C175" t="s">
        <v>31</v>
      </c>
      <c r="D175" t="s">
        <v>3</v>
      </c>
      <c r="E175" t="s">
        <v>12</v>
      </c>
      <c r="F175" t="s">
        <v>47</v>
      </c>
      <c r="G175" t="str">
        <f>IF(G160="Unknown","High",G160)</f>
        <v>Medium</v>
      </c>
      <c r="H175">
        <f t="shared" si="10"/>
        <v>2026</v>
      </c>
      <c r="I175">
        <f t="shared" si="11"/>
        <v>6</v>
      </c>
      <c r="J175" t="str">
        <f t="shared" si="12"/>
        <v>June</v>
      </c>
      <c r="K175" t="str">
        <f t="shared" si="13"/>
        <v>OK</v>
      </c>
      <c r="L175" t="str">
        <f>IF(COUNTIF(A$2:A175,A175)&gt;1,"Duplicate","Unique")</f>
        <v>Unique</v>
      </c>
      <c r="M175" t="str">
        <f t="shared" si="14"/>
        <v>Ready</v>
      </c>
      <c r="N175" t="str">
        <f>clean_data!D90 &amp; " - " &amp; clean_data!C90</f>
        <v>Yaqshid - Fraud</v>
      </c>
    </row>
    <row r="176" spans="1:14">
      <c r="A176" t="s">
        <v>216</v>
      </c>
      <c r="B176" s="1">
        <v>46232</v>
      </c>
      <c r="C176" t="s">
        <v>31</v>
      </c>
      <c r="D176" t="s">
        <v>33</v>
      </c>
      <c r="E176" t="s">
        <v>12</v>
      </c>
      <c r="F176" t="s">
        <v>1</v>
      </c>
      <c r="G176" t="s">
        <v>15</v>
      </c>
      <c r="H176">
        <f t="shared" si="10"/>
        <v>2026</v>
      </c>
      <c r="I176">
        <f t="shared" si="11"/>
        <v>7</v>
      </c>
      <c r="J176" t="str">
        <f t="shared" si="12"/>
        <v>July</v>
      </c>
      <c r="K176" t="str">
        <f t="shared" si="13"/>
        <v>OK</v>
      </c>
      <c r="L176" t="str">
        <f>IF(COUNTIF(A$2:A176,A176)&gt;1,"Duplicate","Unique")</f>
        <v>Unique</v>
      </c>
      <c r="M176" t="str">
        <f t="shared" si="14"/>
        <v>Ready</v>
      </c>
      <c r="N176" t="str">
        <f>clean_data!D97 &amp; " - " &amp; clean_data!C97</f>
        <v>Hodan - Fraud</v>
      </c>
    </row>
    <row r="177" spans="1:14">
      <c r="A177" t="s">
        <v>262</v>
      </c>
      <c r="B177" s="1">
        <f>IF(B2="Unknown",MEDIAN($B$2:$B$292),B2)</f>
        <v>46215</v>
      </c>
      <c r="C177" t="s">
        <v>4</v>
      </c>
      <c r="D177" t="s">
        <v>21</v>
      </c>
      <c r="E177" t="s">
        <v>2</v>
      </c>
      <c r="F177" t="s">
        <v>1</v>
      </c>
      <c r="G177" t="s">
        <v>10</v>
      </c>
      <c r="H177">
        <f t="shared" si="10"/>
        <v>2026</v>
      </c>
      <c r="I177">
        <f t="shared" si="11"/>
        <v>7</v>
      </c>
      <c r="J177" t="str">
        <f t="shared" si="12"/>
        <v>July</v>
      </c>
      <c r="K177" t="str">
        <f t="shared" si="13"/>
        <v>OK</v>
      </c>
      <c r="L177" t="str">
        <f>IF(COUNTIF(A$2:A177,A177)&gt;1,"Duplicate","Unique")</f>
        <v>Unique</v>
      </c>
      <c r="M177" t="str">
        <f t="shared" si="14"/>
        <v>Ready</v>
      </c>
      <c r="N177" t="str">
        <f>clean_data!D50 &amp; " - " &amp; clean_data!C50</f>
        <v>Karan - Robbery</v>
      </c>
    </row>
    <row r="178" spans="1:14">
      <c r="A178" t="s">
        <v>85</v>
      </c>
      <c r="B178" s="1">
        <v>46145</v>
      </c>
      <c r="C178" t="s">
        <v>31</v>
      </c>
      <c r="D178" t="s">
        <v>7</v>
      </c>
      <c r="E178" t="s">
        <v>2</v>
      </c>
      <c r="F178" t="s">
        <v>47</v>
      </c>
      <c r="G178" t="s">
        <v>15</v>
      </c>
      <c r="H178">
        <f t="shared" si="10"/>
        <v>2026</v>
      </c>
      <c r="I178">
        <f t="shared" si="11"/>
        <v>5</v>
      </c>
      <c r="J178" t="str">
        <f t="shared" si="12"/>
        <v>May</v>
      </c>
      <c r="K178" t="str">
        <f t="shared" si="13"/>
        <v>OK</v>
      </c>
      <c r="L178" t="str">
        <f>IF(COUNTIF(A$2:A178,A178)&gt;1,"Duplicate","Unique")</f>
        <v>Unique</v>
      </c>
      <c r="M178" t="str">
        <f t="shared" si="14"/>
        <v>Ready</v>
      </c>
      <c r="N178" t="str">
        <f>clean_data!D188 &amp; " - " &amp; clean_data!C188</f>
        <v>Wadajir - Theft</v>
      </c>
    </row>
    <row r="179" spans="1:14">
      <c r="A179" t="s">
        <v>151</v>
      </c>
      <c r="B179" s="1">
        <v>46034</v>
      </c>
      <c r="C179" t="str" cm="1">
        <f t="array" ref="C179">IF(C157="Unknown",INDEX(C$2:C$292,MODE(MATCH(C$2:C$292,C$2:C$292,0))),C157)</f>
        <v>Theft</v>
      </c>
      <c r="D179" t="s">
        <v>3</v>
      </c>
      <c r="E179" t="s">
        <v>30</v>
      </c>
      <c r="F179" t="s">
        <v>16</v>
      </c>
      <c r="G179" t="s">
        <v>15</v>
      </c>
      <c r="H179">
        <f t="shared" si="10"/>
        <v>2026</v>
      </c>
      <c r="I179">
        <f t="shared" si="11"/>
        <v>1</v>
      </c>
      <c r="J179" t="str">
        <f t="shared" si="12"/>
        <v>January</v>
      </c>
      <c r="K179" t="str">
        <f t="shared" si="13"/>
        <v>Needs Review</v>
      </c>
      <c r="L179" t="str">
        <f>IF(COUNTIF(A$2:A179,A179)&gt;1,"Duplicate","Unique")</f>
        <v>Unique</v>
      </c>
      <c r="M179" t="str">
        <f t="shared" si="14"/>
        <v>Review</v>
      </c>
      <c r="N179" t="str">
        <f>clean_data!D167 &amp; " - " &amp; clean_data!C167</f>
        <v>Yaqshid - Theft</v>
      </c>
    </row>
    <row r="180" spans="1:14">
      <c r="A180" t="s">
        <v>188</v>
      </c>
      <c r="B180" s="1">
        <v>46128</v>
      </c>
      <c r="C180" t="s">
        <v>36</v>
      </c>
      <c r="D180" t="s">
        <v>7</v>
      </c>
      <c r="E180" t="s">
        <v>30</v>
      </c>
      <c r="F180" t="s">
        <v>47</v>
      </c>
      <c r="G180" t="s">
        <v>6</v>
      </c>
      <c r="H180">
        <f t="shared" si="10"/>
        <v>2026</v>
      </c>
      <c r="I180">
        <f t="shared" si="11"/>
        <v>4</v>
      </c>
      <c r="J180" t="str">
        <f t="shared" si="12"/>
        <v>April</v>
      </c>
      <c r="K180" t="str">
        <f t="shared" si="13"/>
        <v>Needs Review</v>
      </c>
      <c r="L180" t="str">
        <f>IF(COUNTIF(A$2:A180,A180)&gt;1,"Duplicate","Unique")</f>
        <v>Unique</v>
      </c>
      <c r="M180" t="str">
        <f t="shared" si="14"/>
        <v>Review</v>
      </c>
      <c r="N180" t="str">
        <f>clean_data!D128 &amp; " - " &amp; clean_data!C128</f>
        <v>Wadajir - Traffic Offense</v>
      </c>
    </row>
    <row r="181" spans="1:14">
      <c r="A181" t="s">
        <v>78</v>
      </c>
      <c r="B181" s="1">
        <v>45803</v>
      </c>
      <c r="C181" t="s">
        <v>8</v>
      </c>
      <c r="D181" t="s">
        <v>7</v>
      </c>
      <c r="E181" t="s">
        <v>315</v>
      </c>
      <c r="F181" t="s">
        <v>16</v>
      </c>
      <c r="G181" t="s">
        <v>6</v>
      </c>
      <c r="H181">
        <f t="shared" si="10"/>
        <v>2025</v>
      </c>
      <c r="I181">
        <f t="shared" si="11"/>
        <v>5</v>
      </c>
      <c r="J181" t="str">
        <f t="shared" si="12"/>
        <v>May</v>
      </c>
      <c r="K181" t="str">
        <f t="shared" si="13"/>
        <v>Needs Review</v>
      </c>
      <c r="L181" t="str">
        <f>IF(COUNTIF(A$2:A181,A181)&gt;1,"Duplicate","Unique")</f>
        <v>Unique</v>
      </c>
      <c r="M181" t="str">
        <f t="shared" si="14"/>
        <v>Review</v>
      </c>
      <c r="N181" t="str">
        <f>clean_data!D237 &amp; " - " &amp; clean_data!C237</f>
        <v>Wadajir - Theft</v>
      </c>
    </row>
    <row r="182" spans="1:14">
      <c r="A182" t="s">
        <v>199</v>
      </c>
      <c r="B182" s="1">
        <v>45678</v>
      </c>
      <c r="C182" t="s">
        <v>27</v>
      </c>
      <c r="D182" t="s">
        <v>26</v>
      </c>
      <c r="E182" t="s">
        <v>30</v>
      </c>
      <c r="F182" t="s">
        <v>1</v>
      </c>
      <c r="G182" t="s">
        <v>15</v>
      </c>
      <c r="H182">
        <f t="shared" si="10"/>
        <v>2025</v>
      </c>
      <c r="I182">
        <f t="shared" si="11"/>
        <v>1</v>
      </c>
      <c r="J182" t="str">
        <f t="shared" si="12"/>
        <v>January</v>
      </c>
      <c r="K182" t="str">
        <f t="shared" si="13"/>
        <v>Needs Review</v>
      </c>
      <c r="L182" t="str">
        <f>IF(COUNTIF(A$2:A182,A182)&gt;1,"Duplicate","Unique")</f>
        <v>Unique</v>
      </c>
      <c r="M182" t="str">
        <f t="shared" si="14"/>
        <v>Review</v>
      </c>
      <c r="N182" t="str">
        <f>clean_data!D116 &amp; " - " &amp; clean_data!C116</f>
        <v>Hodan - Assault</v>
      </c>
    </row>
    <row r="183" spans="1:14">
      <c r="A183" t="s">
        <v>296</v>
      </c>
      <c r="B183" s="1">
        <v>46003</v>
      </c>
      <c r="C183" t="s">
        <v>27</v>
      </c>
      <c r="D183" t="s">
        <v>3</v>
      </c>
      <c r="E183" t="s">
        <v>12</v>
      </c>
      <c r="F183" t="s">
        <v>11</v>
      </c>
      <c r="G183" t="s">
        <v>15</v>
      </c>
      <c r="H183">
        <f t="shared" si="10"/>
        <v>2025</v>
      </c>
      <c r="I183">
        <f t="shared" si="11"/>
        <v>12</v>
      </c>
      <c r="J183" t="str">
        <f t="shared" si="12"/>
        <v>December</v>
      </c>
      <c r="K183" t="str">
        <f t="shared" si="13"/>
        <v>OK</v>
      </c>
      <c r="L183" t="str">
        <f>IF(COUNTIF(A$2:A183,A183)&gt;1,"Duplicate","Unique")</f>
        <v>Unique</v>
      </c>
      <c r="M183" t="str">
        <f t="shared" si="14"/>
        <v>Ready</v>
      </c>
      <c r="N183" t="str">
        <f>clean_data!D14 &amp; " - " &amp; clean_data!C14</f>
        <v>Wadajir - Theft</v>
      </c>
    </row>
    <row r="184" spans="1:14">
      <c r="A184" t="s">
        <v>195</v>
      </c>
      <c r="B184" s="1">
        <v>45864</v>
      </c>
      <c r="C184" t="str" cm="1">
        <f t="array" ref="C184">IF(C162="Unknown",INDEX(C$2:C$292,MODE(MATCH(C$2:C$292,C$2:C$292,0))),C162)</f>
        <v>Theft</v>
      </c>
      <c r="D184" t="s">
        <v>33</v>
      </c>
      <c r="E184" t="s">
        <v>2</v>
      </c>
      <c r="F184" t="s">
        <v>47</v>
      </c>
      <c r="G184" t="s">
        <v>10</v>
      </c>
      <c r="H184">
        <f t="shared" si="10"/>
        <v>2025</v>
      </c>
      <c r="I184">
        <f t="shared" si="11"/>
        <v>7</v>
      </c>
      <c r="J184" t="str">
        <f t="shared" si="12"/>
        <v>July</v>
      </c>
      <c r="K184" t="str">
        <f t="shared" si="13"/>
        <v>OK</v>
      </c>
      <c r="L184" t="str">
        <f>IF(COUNTIF(A$2:A184,A184)&gt;1,"Duplicate","Unique")</f>
        <v>Unique</v>
      </c>
      <c r="M184" t="str">
        <f t="shared" si="14"/>
        <v>Ready</v>
      </c>
      <c r="N184" t="str">
        <f>clean_data!D121 &amp; " - " &amp; clean_data!C121</f>
        <v>Wadajir - Assault</v>
      </c>
    </row>
    <row r="185" spans="1:14">
      <c r="A185" t="s">
        <v>54</v>
      </c>
      <c r="B185" s="1">
        <v>45945</v>
      </c>
      <c r="C185" t="s">
        <v>31</v>
      </c>
      <c r="D185" t="s">
        <v>3</v>
      </c>
      <c r="E185" t="s">
        <v>30</v>
      </c>
      <c r="F185" t="s">
        <v>47</v>
      </c>
      <c r="G185" t="s">
        <v>15</v>
      </c>
      <c r="H185">
        <f t="shared" si="10"/>
        <v>2025</v>
      </c>
      <c r="I185">
        <f t="shared" si="11"/>
        <v>10</v>
      </c>
      <c r="J185" t="str">
        <f t="shared" si="12"/>
        <v>October</v>
      </c>
      <c r="K185" t="str">
        <f t="shared" si="13"/>
        <v>Needs Review</v>
      </c>
      <c r="L185" t="str">
        <f>IF(COUNTIF(A$2:A185,A185)&gt;1,"Duplicate","Unique")</f>
        <v>Unique</v>
      </c>
      <c r="M185" t="str">
        <f t="shared" si="14"/>
        <v>Review</v>
      </c>
      <c r="N185" t="str">
        <f>clean_data!D261 &amp; " - " &amp; clean_data!C261</f>
        <v>Hodan - Fraud</v>
      </c>
    </row>
    <row r="186" spans="1:14">
      <c r="A186" t="s">
        <v>201</v>
      </c>
      <c r="B186" s="1">
        <v>45974</v>
      </c>
      <c r="C186" t="s">
        <v>8</v>
      </c>
      <c r="D186" t="s">
        <v>26</v>
      </c>
      <c r="E186" t="s">
        <v>2</v>
      </c>
      <c r="F186" t="s">
        <v>1</v>
      </c>
      <c r="G186" t="s">
        <v>6</v>
      </c>
      <c r="H186">
        <f t="shared" si="10"/>
        <v>2025</v>
      </c>
      <c r="I186">
        <f t="shared" si="11"/>
        <v>11</v>
      </c>
      <c r="J186" t="str">
        <f t="shared" si="12"/>
        <v>November</v>
      </c>
      <c r="K186" t="str">
        <f t="shared" si="13"/>
        <v>OK</v>
      </c>
      <c r="L186" t="str">
        <f>IF(COUNTIF(A$2:A186,A186)&gt;1,"Duplicate","Unique")</f>
        <v>Unique</v>
      </c>
      <c r="M186" t="str">
        <f t="shared" si="14"/>
        <v>Ready</v>
      </c>
      <c r="N186" t="str">
        <f>clean_data!D114 &amp; " - " &amp; clean_data!C114</f>
        <v>Wadajir - Theft</v>
      </c>
    </row>
    <row r="187" spans="1:14">
      <c r="A187" t="s">
        <v>48</v>
      </c>
      <c r="B187" s="1">
        <v>45832</v>
      </c>
      <c r="C187" t="s">
        <v>27</v>
      </c>
      <c r="D187" t="s">
        <v>3</v>
      </c>
      <c r="E187" t="s">
        <v>2</v>
      </c>
      <c r="F187" t="s">
        <v>47</v>
      </c>
      <c r="G187" t="str">
        <f>IF(G172="Unknown","High",G172)</f>
        <v>Medium</v>
      </c>
      <c r="H187">
        <f t="shared" si="10"/>
        <v>2025</v>
      </c>
      <c r="I187">
        <f t="shared" si="11"/>
        <v>6</v>
      </c>
      <c r="J187" t="str">
        <f t="shared" si="12"/>
        <v>June</v>
      </c>
      <c r="K187" t="str">
        <f t="shared" si="13"/>
        <v>OK</v>
      </c>
      <c r="L187" t="str">
        <f>IF(COUNTIF(A$2:A187,A187)&gt;1,"Duplicate","Unique")</f>
        <v>Unique</v>
      </c>
      <c r="M187" t="str">
        <f t="shared" si="14"/>
        <v>Ready</v>
      </c>
      <c r="N187" t="str">
        <f>clean_data!D268 &amp; " - " &amp; clean_data!C268</f>
        <v>Hodan - Theft</v>
      </c>
    </row>
    <row r="188" spans="1:14">
      <c r="A188" t="s">
        <v>42</v>
      </c>
      <c r="B188" s="1">
        <v>46234</v>
      </c>
      <c r="C188" t="s">
        <v>27</v>
      </c>
      <c r="D188" t="s">
        <v>7</v>
      </c>
      <c r="E188" t="s">
        <v>2</v>
      </c>
      <c r="F188" t="s">
        <v>1</v>
      </c>
      <c r="G188" t="s">
        <v>15</v>
      </c>
      <c r="H188">
        <f t="shared" si="10"/>
        <v>2026</v>
      </c>
      <c r="I188">
        <f t="shared" si="11"/>
        <v>7</v>
      </c>
      <c r="J188" t="str">
        <f t="shared" si="12"/>
        <v>July</v>
      </c>
      <c r="K188" t="str">
        <f t="shared" si="13"/>
        <v>OK</v>
      </c>
      <c r="L188" t="str">
        <f>IF(COUNTIF(A$2:A188,A188)&gt;1,"Duplicate","Unique")</f>
        <v>Unique</v>
      </c>
      <c r="M188" t="str">
        <f t="shared" si="14"/>
        <v>Ready</v>
      </c>
      <c r="N188" t="str">
        <f>clean_data!D272 &amp; " - " &amp; clean_data!C272</f>
        <v>Waberi - Traffic Offense</v>
      </c>
    </row>
    <row r="189" spans="1:14">
      <c r="A189" t="s">
        <v>114</v>
      </c>
      <c r="B189" s="1">
        <v>45754</v>
      </c>
      <c r="C189" t="s">
        <v>36</v>
      </c>
      <c r="D189" t="s">
        <v>13</v>
      </c>
      <c r="E189" t="s">
        <v>2</v>
      </c>
      <c r="F189" t="s">
        <v>1</v>
      </c>
      <c r="G189" t="s">
        <v>6</v>
      </c>
      <c r="H189">
        <f t="shared" si="10"/>
        <v>2025</v>
      </c>
      <c r="I189">
        <f t="shared" si="11"/>
        <v>4</v>
      </c>
      <c r="J189" t="str">
        <f t="shared" si="12"/>
        <v>April</v>
      </c>
      <c r="K189" t="str">
        <f t="shared" si="13"/>
        <v>OK</v>
      </c>
      <c r="L189" t="str">
        <f>IF(COUNTIF(A$2:A189,A189)&gt;1,"Duplicate","Unique")</f>
        <v>Unique</v>
      </c>
      <c r="M189" t="str">
        <f t="shared" si="14"/>
        <v>Ready</v>
      </c>
      <c r="N189" t="str">
        <f>clean_data!D203 &amp; " - " &amp; clean_data!C203</f>
        <v>Wadajir - Theft</v>
      </c>
    </row>
    <row r="190" spans="1:14">
      <c r="A190" t="s">
        <v>79</v>
      </c>
      <c r="B190" s="1">
        <v>45984</v>
      </c>
      <c r="C190" t="s">
        <v>36</v>
      </c>
      <c r="D190" t="s">
        <v>3</v>
      </c>
      <c r="E190" t="s">
        <v>2</v>
      </c>
      <c r="F190" t="s">
        <v>1</v>
      </c>
      <c r="G190" t="s">
        <v>6</v>
      </c>
      <c r="H190">
        <f t="shared" si="10"/>
        <v>2025</v>
      </c>
      <c r="I190">
        <f t="shared" si="11"/>
        <v>11</v>
      </c>
      <c r="J190" t="str">
        <f t="shared" si="12"/>
        <v>November</v>
      </c>
      <c r="K190" t="str">
        <f t="shared" si="13"/>
        <v>OK</v>
      </c>
      <c r="L190" t="str">
        <f>IF(COUNTIF(A$2:A190,A190)&gt;1,"Duplicate","Unique")</f>
        <v>Unique</v>
      </c>
      <c r="M190" t="str">
        <f t="shared" si="14"/>
        <v>Ready</v>
      </c>
      <c r="N190" t="str">
        <f>clean_data!D236 &amp; " - " &amp; clean_data!C236</f>
        <v>Wadajir - Fraud</v>
      </c>
    </row>
    <row r="191" spans="1:14">
      <c r="A191" t="s">
        <v>166</v>
      </c>
      <c r="B191" s="1">
        <v>45901</v>
      </c>
      <c r="C191" t="s">
        <v>8</v>
      </c>
      <c r="D191" t="str">
        <f>IF(D175="Unknown","Hodan",D175)</f>
        <v>Hodan</v>
      </c>
      <c r="E191" t="s">
        <v>2</v>
      </c>
      <c r="F191" t="s">
        <v>1</v>
      </c>
      <c r="G191" t="s">
        <v>6</v>
      </c>
      <c r="H191">
        <f t="shared" si="10"/>
        <v>2025</v>
      </c>
      <c r="I191">
        <f t="shared" si="11"/>
        <v>9</v>
      </c>
      <c r="J191" t="str">
        <f t="shared" si="12"/>
        <v>September</v>
      </c>
      <c r="K191" t="str">
        <f t="shared" si="13"/>
        <v>OK</v>
      </c>
      <c r="L191" t="str">
        <f>IF(COUNTIF(A$2:A191,A191)&gt;1,"Duplicate","Unique")</f>
        <v>Unique</v>
      </c>
      <c r="M191" t="str">
        <f t="shared" si="14"/>
        <v>Ready</v>
      </c>
      <c r="N191" t="str">
        <f>clean_data!D152 &amp; " - " &amp; clean_data!C152</f>
        <v>Hodan - Theft</v>
      </c>
    </row>
    <row r="192" spans="1:14">
      <c r="A192" t="s">
        <v>255</v>
      </c>
      <c r="B192" s="1">
        <v>45870</v>
      </c>
      <c r="C192" t="s">
        <v>27</v>
      </c>
      <c r="D192" t="s">
        <v>21</v>
      </c>
      <c r="E192" t="s">
        <v>315</v>
      </c>
      <c r="F192" t="s">
        <v>16</v>
      </c>
      <c r="G192" t="s">
        <v>15</v>
      </c>
      <c r="H192">
        <f t="shared" si="10"/>
        <v>2025</v>
      </c>
      <c r="I192">
        <f t="shared" si="11"/>
        <v>8</v>
      </c>
      <c r="J192" t="str">
        <f t="shared" si="12"/>
        <v>August</v>
      </c>
      <c r="K192" t="str">
        <f t="shared" si="13"/>
        <v>Needs Review</v>
      </c>
      <c r="L192" t="str">
        <f>IF(COUNTIF(A$2:A192,A192)&gt;1,"Duplicate","Unique")</f>
        <v>Unique</v>
      </c>
      <c r="M192" t="str">
        <f t="shared" si="14"/>
        <v>Review</v>
      </c>
      <c r="N192" t="str">
        <f>clean_data!D57 &amp; " - " &amp; clean_data!C57</f>
        <v>Hodan - Assault</v>
      </c>
    </row>
    <row r="193" spans="1:14">
      <c r="A193" t="s">
        <v>180</v>
      </c>
      <c r="B193" s="1">
        <v>46171</v>
      </c>
      <c r="C193" t="s">
        <v>27</v>
      </c>
      <c r="D193" t="s">
        <v>33</v>
      </c>
      <c r="E193" t="s">
        <v>2</v>
      </c>
      <c r="F193" t="s">
        <v>1</v>
      </c>
      <c r="G193" t="str">
        <f t="shared" ref="G193:G195" si="16">IF(G178="Unknown","High",G178)</f>
        <v>Medium</v>
      </c>
      <c r="H193">
        <f t="shared" si="10"/>
        <v>2026</v>
      </c>
      <c r="I193">
        <f t="shared" si="11"/>
        <v>5</v>
      </c>
      <c r="J193" t="str">
        <f t="shared" si="12"/>
        <v>May</v>
      </c>
      <c r="K193" t="str">
        <f t="shared" si="13"/>
        <v>OK</v>
      </c>
      <c r="L193" t="str">
        <f>IF(COUNTIF(A$2:A193,A193)&gt;1,"Duplicate","Unique")</f>
        <v>Unique</v>
      </c>
      <c r="M193" t="str">
        <f t="shared" si="14"/>
        <v>Ready</v>
      </c>
      <c r="N193" t="str">
        <f>clean_data!D138 &amp; " - " &amp; clean_data!C138</f>
        <v>Wadajir - Traffic Offense</v>
      </c>
    </row>
    <row r="194" spans="1:14">
      <c r="A194" t="s">
        <v>95</v>
      </c>
      <c r="B194" s="1">
        <v>46104</v>
      </c>
      <c r="C194" t="s">
        <v>8</v>
      </c>
      <c r="D194" t="s">
        <v>26</v>
      </c>
      <c r="E194" t="s">
        <v>2</v>
      </c>
      <c r="F194" t="str" cm="1">
        <f t="array" ref="F194">IF(F176="Unknown",INDEX(F$2:F$292,MODE(MATCH(F$2:F$292,F$2:F$292,0))),F176)</f>
        <v>Closed</v>
      </c>
      <c r="G194" t="str">
        <f t="shared" si="16"/>
        <v>Medium</v>
      </c>
      <c r="H194">
        <f t="shared" ref="H194:H257" si="17">IF(B194="","",YEAR(B194))</f>
        <v>2026</v>
      </c>
      <c r="I194">
        <f t="shared" ref="I194:I257" si="18">IF(B194="","",MONTH(B194))</f>
        <v>3</v>
      </c>
      <c r="J194" t="str">
        <f t="shared" ref="J194:J257" si="19">IF(B194="","",TEXT(B194,"mmmm"))</f>
        <v>March</v>
      </c>
      <c r="K194" t="str">
        <f t="shared" ref="K194:K257" si="20">IF(COUNTBLANK(A194:G194)+COUNTIF(A194:G194,"Unknown")+COUNTIF(A194:G194,"-")&gt;0,"Needs Review","OK")</f>
        <v>OK</v>
      </c>
      <c r="L194" t="str">
        <f>IF(COUNTIF(A$2:A194,A194)&gt;1,"Duplicate","Unique")</f>
        <v>Unique</v>
      </c>
      <c r="M194" t="str">
        <f t="shared" ref="M194:M257" si="21">IF(OR(K194="Needs Review",L194="Duplicate"),"Review","Ready")</f>
        <v>Ready</v>
      </c>
      <c r="N194" t="str">
        <f>clean_data!D220 &amp; " - " &amp; clean_data!C220</f>
        <v>Hodan - Traffic Offense</v>
      </c>
    </row>
    <row r="195" spans="1:14">
      <c r="A195" t="s">
        <v>206</v>
      </c>
      <c r="B195" s="1">
        <v>45893</v>
      </c>
      <c r="C195" t="s">
        <v>8</v>
      </c>
      <c r="D195" t="s">
        <v>13</v>
      </c>
      <c r="E195" t="s">
        <v>2</v>
      </c>
      <c r="F195" t="s">
        <v>47</v>
      </c>
      <c r="G195" t="str">
        <f t="shared" si="16"/>
        <v>High</v>
      </c>
      <c r="H195">
        <f t="shared" si="17"/>
        <v>2025</v>
      </c>
      <c r="I195">
        <f t="shared" si="18"/>
        <v>8</v>
      </c>
      <c r="J195" t="str">
        <f t="shared" si="19"/>
        <v>August</v>
      </c>
      <c r="K195" t="str">
        <f t="shared" si="20"/>
        <v>OK</v>
      </c>
      <c r="L195" t="str">
        <f>IF(COUNTIF(A$2:A195,A195)&gt;1,"Duplicate","Unique")</f>
        <v>Unique</v>
      </c>
      <c r="M195" t="str">
        <f t="shared" si="21"/>
        <v>Ready</v>
      </c>
      <c r="N195" t="str">
        <f>clean_data!D107 &amp; " - " &amp; clean_data!C107</f>
        <v>Hodan - Theft</v>
      </c>
    </row>
    <row r="196" spans="1:14">
      <c r="A196" t="s">
        <v>247</v>
      </c>
      <c r="B196" s="1">
        <v>46130</v>
      </c>
      <c r="C196" t="s">
        <v>27</v>
      </c>
      <c r="D196" t="s">
        <v>13</v>
      </c>
      <c r="E196" t="s">
        <v>315</v>
      </c>
      <c r="F196" t="s">
        <v>16</v>
      </c>
      <c r="G196" t="s">
        <v>15</v>
      </c>
      <c r="H196">
        <f t="shared" si="17"/>
        <v>2026</v>
      </c>
      <c r="I196">
        <f t="shared" si="18"/>
        <v>4</v>
      </c>
      <c r="J196" t="str">
        <f t="shared" si="19"/>
        <v>April</v>
      </c>
      <c r="K196" t="str">
        <f t="shared" si="20"/>
        <v>Needs Review</v>
      </c>
      <c r="L196" t="str">
        <f>IF(COUNTIF(A$2:A196,A196)&gt;1,"Duplicate","Unique")</f>
        <v>Unique</v>
      </c>
      <c r="M196" t="str">
        <f t="shared" si="21"/>
        <v>Review</v>
      </c>
      <c r="N196" t="str">
        <f>clean_data!D66 &amp; " - " &amp; clean_data!C66</f>
        <v>Hodan - Traffic Offense</v>
      </c>
    </row>
    <row r="197" spans="1:14">
      <c r="A197" t="s">
        <v>77</v>
      </c>
      <c r="B197" s="1">
        <v>45755</v>
      </c>
      <c r="C197" t="s">
        <v>4</v>
      </c>
      <c r="D197" t="s">
        <v>21</v>
      </c>
      <c r="E197" t="s">
        <v>2</v>
      </c>
      <c r="F197" t="s">
        <v>1</v>
      </c>
      <c r="G197" t="s">
        <v>10</v>
      </c>
      <c r="H197">
        <f t="shared" si="17"/>
        <v>2025</v>
      </c>
      <c r="I197">
        <f t="shared" si="18"/>
        <v>4</v>
      </c>
      <c r="J197" t="str">
        <f t="shared" si="19"/>
        <v>April</v>
      </c>
      <c r="K197" t="str">
        <f t="shared" si="20"/>
        <v>OK</v>
      </c>
      <c r="L197" t="str">
        <f>IF(COUNTIF(A$2:A197,A197)&gt;1,"Duplicate","Unique")</f>
        <v>Unique</v>
      </c>
      <c r="M197" t="str">
        <f t="shared" si="21"/>
        <v>Ready</v>
      </c>
      <c r="N197" t="str">
        <f>clean_data!D238 &amp; " - " &amp; clean_data!C238</f>
        <v>Hodan - Theft</v>
      </c>
    </row>
    <row r="198" spans="1:14">
      <c r="A198" t="s">
        <v>251</v>
      </c>
      <c r="B198" s="1">
        <v>45793</v>
      </c>
      <c r="C198" t="s">
        <v>8</v>
      </c>
      <c r="D198" t="str">
        <f>IF(D182="Unknown","Hodan",D182)</f>
        <v>Yaqshid</v>
      </c>
      <c r="E198" t="s">
        <v>2</v>
      </c>
      <c r="F198" t="s">
        <v>11</v>
      </c>
      <c r="G198" t="s">
        <v>6</v>
      </c>
      <c r="H198">
        <f t="shared" si="17"/>
        <v>2025</v>
      </c>
      <c r="I198">
        <f t="shared" si="18"/>
        <v>5</v>
      </c>
      <c r="J198" t="str">
        <f t="shared" si="19"/>
        <v>May</v>
      </c>
      <c r="K198" t="str">
        <f t="shared" si="20"/>
        <v>OK</v>
      </c>
      <c r="L198" t="str">
        <f>IF(COUNTIF(A$2:A198,A198)&gt;1,"Duplicate","Unique")</f>
        <v>Unique</v>
      </c>
      <c r="M198" t="str">
        <f t="shared" si="21"/>
        <v>Ready</v>
      </c>
      <c r="N198" t="str">
        <f>clean_data!D62 &amp; " - " &amp; clean_data!C62</f>
        <v>Yaqshid - Robbery</v>
      </c>
    </row>
    <row r="199" spans="1:14">
      <c r="A199" t="s">
        <v>59</v>
      </c>
      <c r="B199" s="1">
        <v>46067</v>
      </c>
      <c r="C199" t="s">
        <v>8</v>
      </c>
      <c r="D199" t="s">
        <v>3</v>
      </c>
      <c r="E199" t="s">
        <v>12</v>
      </c>
      <c r="F199" t="s">
        <v>1</v>
      </c>
      <c r="G199" t="s">
        <v>6</v>
      </c>
      <c r="H199">
        <f t="shared" si="17"/>
        <v>2026</v>
      </c>
      <c r="I199">
        <f t="shared" si="18"/>
        <v>2</v>
      </c>
      <c r="J199" t="str">
        <f t="shared" si="19"/>
        <v>February</v>
      </c>
      <c r="K199" t="str">
        <f t="shared" si="20"/>
        <v>OK</v>
      </c>
      <c r="L199" t="str">
        <f>IF(COUNTIF(A$2:A199,A199)&gt;1,"Duplicate","Unique")</f>
        <v>Unique</v>
      </c>
      <c r="M199" t="str">
        <f t="shared" si="21"/>
        <v>Ready</v>
      </c>
      <c r="N199" t="str">
        <f>clean_data!D257 &amp; " - " &amp; clean_data!C257</f>
        <v>Hodan - Theft</v>
      </c>
    </row>
    <row r="200" spans="1:14">
      <c r="A200" t="s">
        <v>88</v>
      </c>
      <c r="B200" s="1">
        <v>45960</v>
      </c>
      <c r="C200" t="s">
        <v>27</v>
      </c>
      <c r="D200" t="s">
        <v>26</v>
      </c>
      <c r="E200" t="s">
        <v>12</v>
      </c>
      <c r="F200" t="s">
        <v>1</v>
      </c>
      <c r="G200" t="s">
        <v>15</v>
      </c>
      <c r="H200">
        <f t="shared" si="17"/>
        <v>2025</v>
      </c>
      <c r="I200">
        <f t="shared" si="18"/>
        <v>10</v>
      </c>
      <c r="J200" t="str">
        <f t="shared" si="19"/>
        <v>October</v>
      </c>
      <c r="K200" t="str">
        <f t="shared" si="20"/>
        <v>OK</v>
      </c>
      <c r="L200" t="str">
        <f>IF(COUNTIF(A$2:A200,A200)&gt;1,"Duplicate","Unique")</f>
        <v>Unique</v>
      </c>
      <c r="M200" t="str">
        <f t="shared" si="21"/>
        <v>Ready</v>
      </c>
      <c r="N200" t="str">
        <f>clean_data!D227 &amp; " - " &amp; clean_data!C227</f>
        <v>Hodan - Robbery</v>
      </c>
    </row>
    <row r="201" spans="1:14">
      <c r="A201" t="s">
        <v>263</v>
      </c>
      <c r="B201" s="1">
        <v>45729</v>
      </c>
      <c r="C201" t="s">
        <v>36</v>
      </c>
      <c r="D201" t="s">
        <v>3</v>
      </c>
      <c r="E201" t="s">
        <v>2</v>
      </c>
      <c r="F201" t="s">
        <v>16</v>
      </c>
      <c r="G201" t="s">
        <v>6</v>
      </c>
      <c r="H201">
        <f t="shared" si="17"/>
        <v>2025</v>
      </c>
      <c r="I201">
        <f t="shared" si="18"/>
        <v>3</v>
      </c>
      <c r="J201" t="str">
        <f t="shared" si="19"/>
        <v>March</v>
      </c>
      <c r="K201" t="str">
        <f t="shared" si="20"/>
        <v>OK</v>
      </c>
      <c r="L201" t="str">
        <f>IF(COUNTIF(A$2:A201,A201)&gt;1,"Duplicate","Unique")</f>
        <v>Unique</v>
      </c>
      <c r="M201" t="str">
        <f t="shared" si="21"/>
        <v>Ready</v>
      </c>
      <c r="N201" t="str">
        <f>clean_data!D49 &amp; " - " &amp; clean_data!C49</f>
        <v>Waberi - Theft</v>
      </c>
    </row>
    <row r="202" spans="1:14">
      <c r="A202" t="s">
        <v>113</v>
      </c>
      <c r="B202" s="1">
        <v>45884</v>
      </c>
      <c r="C202" t="s">
        <v>4</v>
      </c>
      <c r="D202" t="s">
        <v>7</v>
      </c>
      <c r="E202" t="s">
        <v>315</v>
      </c>
      <c r="F202" t="s">
        <v>11</v>
      </c>
      <c r="G202" t="s">
        <v>10</v>
      </c>
      <c r="H202">
        <f t="shared" si="17"/>
        <v>2025</v>
      </c>
      <c r="I202">
        <f t="shared" si="18"/>
        <v>8</v>
      </c>
      <c r="J202" t="str">
        <f t="shared" si="19"/>
        <v>August</v>
      </c>
      <c r="K202" t="str">
        <f t="shared" si="20"/>
        <v>Needs Review</v>
      </c>
      <c r="L202" t="str">
        <f>IF(COUNTIF(A$2:A202,A202)&gt;1,"Duplicate","Unique")</f>
        <v>Unique</v>
      </c>
      <c r="M202" t="str">
        <f t="shared" si="21"/>
        <v>Review</v>
      </c>
      <c r="N202" t="str">
        <f>clean_data!D204 &amp; " - " &amp; clean_data!C204</f>
        <v>Hodan - Fraud</v>
      </c>
    </row>
    <row r="203" spans="1:14">
      <c r="A203" t="s">
        <v>230</v>
      </c>
      <c r="B203" s="1">
        <v>46129</v>
      </c>
      <c r="C203" t="s">
        <v>27</v>
      </c>
      <c r="D203" t="s">
        <v>7</v>
      </c>
      <c r="E203" t="s">
        <v>2</v>
      </c>
      <c r="F203" t="s">
        <v>47</v>
      </c>
      <c r="G203" t="s">
        <v>15</v>
      </c>
      <c r="H203">
        <f t="shared" si="17"/>
        <v>2026</v>
      </c>
      <c r="I203">
        <f t="shared" si="18"/>
        <v>4</v>
      </c>
      <c r="J203" t="str">
        <f t="shared" si="19"/>
        <v>April</v>
      </c>
      <c r="K203" t="str">
        <f t="shared" si="20"/>
        <v>OK</v>
      </c>
      <c r="L203" t="str">
        <f>IF(COUNTIF(A$2:A203,A203)&gt;1,"Duplicate","Unique")</f>
        <v>Unique</v>
      </c>
      <c r="M203" t="str">
        <f t="shared" si="21"/>
        <v>Ready</v>
      </c>
      <c r="N203" t="str">
        <f>clean_data!D83 &amp; " - " &amp; clean_data!C83</f>
        <v>Daynile - Assault</v>
      </c>
    </row>
    <row r="204" spans="1:14">
      <c r="A204" t="s">
        <v>196</v>
      </c>
      <c r="B204" s="1">
        <v>45784</v>
      </c>
      <c r="C204" t="s">
        <v>31</v>
      </c>
      <c r="D204" t="s">
        <v>3</v>
      </c>
      <c r="E204" t="s">
        <v>2</v>
      </c>
      <c r="F204" t="s">
        <v>1</v>
      </c>
      <c r="G204" t="s">
        <v>15</v>
      </c>
      <c r="H204">
        <f t="shared" si="17"/>
        <v>2025</v>
      </c>
      <c r="I204">
        <f t="shared" si="18"/>
        <v>5</v>
      </c>
      <c r="J204" t="str">
        <f t="shared" si="19"/>
        <v>May</v>
      </c>
      <c r="K204" t="str">
        <f t="shared" si="20"/>
        <v>OK</v>
      </c>
      <c r="L204" t="str">
        <f>IF(COUNTIF(A$2:A204,A204)&gt;1,"Duplicate","Unique")</f>
        <v>Unique</v>
      </c>
      <c r="M204" t="str">
        <f t="shared" si="21"/>
        <v>Ready</v>
      </c>
      <c r="N204" t="str">
        <f>clean_data!D120 &amp; " - " &amp; clean_data!C120</f>
        <v>Waberi - Robbery</v>
      </c>
    </row>
    <row r="205" spans="1:14">
      <c r="A205" t="s">
        <v>268</v>
      </c>
      <c r="B205" s="1">
        <v>46216</v>
      </c>
      <c r="C205" t="s">
        <v>36</v>
      </c>
      <c r="D205" t="s">
        <v>13</v>
      </c>
      <c r="E205" t="s">
        <v>12</v>
      </c>
      <c r="F205" t="s">
        <v>11</v>
      </c>
      <c r="G205" t="s">
        <v>6</v>
      </c>
      <c r="H205">
        <f t="shared" si="17"/>
        <v>2026</v>
      </c>
      <c r="I205">
        <f t="shared" si="18"/>
        <v>7</v>
      </c>
      <c r="J205" t="str">
        <f t="shared" si="19"/>
        <v>July</v>
      </c>
      <c r="K205" t="str">
        <f t="shared" si="20"/>
        <v>OK</v>
      </c>
      <c r="L205" t="str">
        <f>IF(COUNTIF(A$2:A205,A205)&gt;1,"Duplicate","Unique")</f>
        <v>Unique</v>
      </c>
      <c r="M205" t="str">
        <f t="shared" si="21"/>
        <v>Ready</v>
      </c>
      <c r="N205" t="str">
        <f>clean_data!D43 &amp; " - " &amp; clean_data!C43</f>
        <v>Hodan - Fraud</v>
      </c>
    </row>
    <row r="206" spans="1:14">
      <c r="A206" t="s">
        <v>298</v>
      </c>
      <c r="B206" s="1">
        <v>45755</v>
      </c>
      <c r="C206" t="s">
        <v>31</v>
      </c>
      <c r="D206" t="s">
        <v>33</v>
      </c>
      <c r="E206" t="s">
        <v>2</v>
      </c>
      <c r="F206" t="s">
        <v>11</v>
      </c>
      <c r="G206" t="s">
        <v>15</v>
      </c>
      <c r="H206">
        <f t="shared" si="17"/>
        <v>2025</v>
      </c>
      <c r="I206">
        <f t="shared" si="18"/>
        <v>4</v>
      </c>
      <c r="J206" t="str">
        <f t="shared" si="19"/>
        <v>April</v>
      </c>
      <c r="K206" t="str">
        <f t="shared" si="20"/>
        <v>OK</v>
      </c>
      <c r="L206" t="str">
        <f>IF(COUNTIF(A$2:A206,A206)&gt;1,"Duplicate","Unique")</f>
        <v>Unique</v>
      </c>
      <c r="M206" t="str">
        <f t="shared" si="21"/>
        <v>Ready</v>
      </c>
      <c r="N206" t="str">
        <f>clean_data!D11 &amp; " - " &amp; clean_data!C11</f>
        <v>Daynile - Robbery</v>
      </c>
    </row>
    <row r="207" spans="1:14">
      <c r="A207" t="s">
        <v>232</v>
      </c>
      <c r="B207" s="1">
        <v>46061</v>
      </c>
      <c r="C207" t="s">
        <v>27</v>
      </c>
      <c r="D207" t="s">
        <v>7</v>
      </c>
      <c r="E207" t="s">
        <v>2</v>
      </c>
      <c r="F207" t="s">
        <v>1</v>
      </c>
      <c r="G207" t="s">
        <v>15</v>
      </c>
      <c r="H207">
        <f t="shared" si="17"/>
        <v>2026</v>
      </c>
      <c r="I207">
        <f t="shared" si="18"/>
        <v>2</v>
      </c>
      <c r="J207" t="str">
        <f t="shared" si="19"/>
        <v>February</v>
      </c>
      <c r="K207" t="str">
        <f t="shared" si="20"/>
        <v>OK</v>
      </c>
      <c r="L207" t="str">
        <f>IF(COUNTIF(A$2:A207,A207)&gt;1,"Duplicate","Unique")</f>
        <v>Unique</v>
      </c>
      <c r="M207" t="str">
        <f t="shared" si="21"/>
        <v>Ready</v>
      </c>
      <c r="N207" t="str">
        <f>clean_data!D81 &amp; " - " &amp; clean_data!C81</f>
        <v>Waberi - Fraud</v>
      </c>
    </row>
    <row r="208" spans="1:14">
      <c r="A208" t="s">
        <v>112</v>
      </c>
      <c r="B208" s="1">
        <v>45807</v>
      </c>
      <c r="C208" t="s">
        <v>27</v>
      </c>
      <c r="D208" t="s">
        <v>13</v>
      </c>
      <c r="E208" t="s">
        <v>2</v>
      </c>
      <c r="F208" t="s">
        <v>1</v>
      </c>
      <c r="G208" t="s">
        <v>15</v>
      </c>
      <c r="H208">
        <f t="shared" si="17"/>
        <v>2025</v>
      </c>
      <c r="I208">
        <f t="shared" si="18"/>
        <v>5</v>
      </c>
      <c r="J208" t="str">
        <f t="shared" si="19"/>
        <v>May</v>
      </c>
      <c r="K208" t="str">
        <f t="shared" si="20"/>
        <v>OK</v>
      </c>
      <c r="L208" t="str">
        <f>IF(COUNTIF(A$2:A208,A208)&gt;1,"Duplicate","Unique")</f>
        <v>Unique</v>
      </c>
      <c r="M208" t="str">
        <f t="shared" si="21"/>
        <v>Ready</v>
      </c>
      <c r="N208" t="str">
        <f>clean_data!D61 &amp; " - " &amp; clean_data!C61</f>
        <v>Wadajir - Burglary</v>
      </c>
    </row>
    <row r="209" spans="1:14">
      <c r="A209" t="s">
        <v>87</v>
      </c>
      <c r="B209" s="1">
        <v>46091</v>
      </c>
      <c r="C209" t="s">
        <v>36</v>
      </c>
      <c r="D209" t="s">
        <v>3</v>
      </c>
      <c r="E209" t="s">
        <v>12</v>
      </c>
      <c r="F209" t="str" cm="1">
        <f t="array" ref="F209">IF(F191="Unknown",INDEX(F$2:F$292,MODE(MATCH(F$2:F$292,F$2:F$292,0))),F191)</f>
        <v>Closed</v>
      </c>
      <c r="G209" t="str">
        <f>IF(G194="Unknown","High",G194)</f>
        <v>Medium</v>
      </c>
      <c r="H209">
        <f t="shared" si="17"/>
        <v>2026</v>
      </c>
      <c r="I209">
        <f t="shared" si="18"/>
        <v>3</v>
      </c>
      <c r="J209" t="str">
        <f t="shared" si="19"/>
        <v>March</v>
      </c>
      <c r="K209" t="str">
        <f t="shared" si="20"/>
        <v>OK</v>
      </c>
      <c r="L209" t="str">
        <f>IF(COUNTIF(A$2:A209,A209)&gt;1,"Duplicate","Unique")</f>
        <v>Unique</v>
      </c>
      <c r="M209" t="str">
        <f t="shared" si="21"/>
        <v>Ready</v>
      </c>
      <c r="N209" t="str">
        <f>clean_data!D228 &amp; " - " &amp; clean_data!C228</f>
        <v>Yaqshid - Theft</v>
      </c>
    </row>
    <row r="210" spans="1:14">
      <c r="A210" t="s">
        <v>146</v>
      </c>
      <c r="B210" s="1">
        <v>46127</v>
      </c>
      <c r="C210" t="s">
        <v>8</v>
      </c>
      <c r="D210" t="s">
        <v>3</v>
      </c>
      <c r="E210" t="s">
        <v>2</v>
      </c>
      <c r="F210" t="s">
        <v>1</v>
      </c>
      <c r="G210" t="s">
        <v>6</v>
      </c>
      <c r="H210">
        <f t="shared" si="17"/>
        <v>2026</v>
      </c>
      <c r="I210">
        <f t="shared" si="18"/>
        <v>4</v>
      </c>
      <c r="J210" t="str">
        <f t="shared" si="19"/>
        <v>April</v>
      </c>
      <c r="K210" t="str">
        <f t="shared" si="20"/>
        <v>OK</v>
      </c>
      <c r="L210" t="str">
        <f>IF(COUNTIF(A$2:A210,A210)&gt;1,"Duplicate","Unique")</f>
        <v>Unique</v>
      </c>
      <c r="M210" t="str">
        <f t="shared" si="21"/>
        <v>Ready</v>
      </c>
      <c r="N210" t="str">
        <f>clean_data!D171 &amp; " - " &amp; clean_data!C171</f>
        <v>Hodan - Assault</v>
      </c>
    </row>
    <row r="211" spans="1:14">
      <c r="A211" t="s">
        <v>270</v>
      </c>
      <c r="B211" s="1">
        <v>45995</v>
      </c>
      <c r="C211" t="s">
        <v>36</v>
      </c>
      <c r="D211" t="s">
        <v>21</v>
      </c>
      <c r="E211" t="s">
        <v>2</v>
      </c>
      <c r="F211" t="str" cm="1">
        <f t="array" ref="F211">IF(F193="Unknown",INDEX(F$2:F$292,MODE(MATCH(F$2:F$292,F$2:F$292,0))),F193)</f>
        <v>Closed</v>
      </c>
      <c r="G211" t="s">
        <v>6</v>
      </c>
      <c r="H211">
        <f t="shared" si="17"/>
        <v>2025</v>
      </c>
      <c r="I211">
        <f t="shared" si="18"/>
        <v>12</v>
      </c>
      <c r="J211" t="str">
        <f t="shared" si="19"/>
        <v>December</v>
      </c>
      <c r="K211" t="str">
        <f t="shared" si="20"/>
        <v>OK</v>
      </c>
      <c r="L211" t="str">
        <f>IF(COUNTIF(A$2:A211,A211)&gt;1,"Duplicate","Unique")</f>
        <v>Unique</v>
      </c>
      <c r="M211" t="str">
        <f t="shared" si="21"/>
        <v>Ready</v>
      </c>
      <c r="N211" t="str">
        <f>clean_data!D41 &amp; " - " &amp; clean_data!C41</f>
        <v>Karan - Assault</v>
      </c>
    </row>
    <row r="212" spans="1:14">
      <c r="A212" t="s">
        <v>228</v>
      </c>
      <c r="B212" s="1">
        <v>45930</v>
      </c>
      <c r="C212" t="s">
        <v>8</v>
      </c>
      <c r="D212" t="s">
        <v>7</v>
      </c>
      <c r="E212" t="s">
        <v>2</v>
      </c>
      <c r="F212" t="s">
        <v>11</v>
      </c>
      <c r="G212" t="s">
        <v>6</v>
      </c>
      <c r="H212">
        <f t="shared" si="17"/>
        <v>2025</v>
      </c>
      <c r="I212">
        <f t="shared" si="18"/>
        <v>9</v>
      </c>
      <c r="J212" t="str">
        <f t="shared" si="19"/>
        <v>September</v>
      </c>
      <c r="K212" t="str">
        <f t="shared" si="20"/>
        <v>OK</v>
      </c>
      <c r="L212" t="str">
        <f>IF(COUNTIF(A$2:A212,A212)&gt;1,"Duplicate","Unique")</f>
        <v>Unique</v>
      </c>
      <c r="M212" t="str">
        <f t="shared" si="21"/>
        <v>Ready</v>
      </c>
      <c r="N212" t="str">
        <f>clean_data!D85 &amp; " - " &amp; clean_data!C85</f>
        <v>Wadajir - Theft</v>
      </c>
    </row>
    <row r="213" spans="1:14">
      <c r="A213" t="s">
        <v>260</v>
      </c>
      <c r="B213" s="1">
        <v>45909</v>
      </c>
      <c r="C213" t="s">
        <v>22</v>
      </c>
      <c r="D213" t="s">
        <v>26</v>
      </c>
      <c r="E213" t="s">
        <v>30</v>
      </c>
      <c r="F213" t="s">
        <v>16</v>
      </c>
      <c r="G213" t="s">
        <v>15</v>
      </c>
      <c r="H213">
        <f t="shared" si="17"/>
        <v>2025</v>
      </c>
      <c r="I213">
        <f t="shared" si="18"/>
        <v>9</v>
      </c>
      <c r="J213" t="str">
        <f t="shared" si="19"/>
        <v>September</v>
      </c>
      <c r="K213" t="str">
        <f t="shared" si="20"/>
        <v>Needs Review</v>
      </c>
      <c r="L213" t="str">
        <f>IF(COUNTIF(A$2:A213,A213)&gt;1,"Duplicate","Unique")</f>
        <v>Unique</v>
      </c>
      <c r="M213" t="str">
        <f t="shared" si="21"/>
        <v>Review</v>
      </c>
      <c r="N213" t="str">
        <f>clean_data!D52 &amp; " - " &amp; clean_data!C52</f>
        <v>Wadajir - Theft</v>
      </c>
    </row>
    <row r="214" spans="1:14">
      <c r="A214" t="s">
        <v>51</v>
      </c>
      <c r="B214" s="1">
        <v>45944</v>
      </c>
      <c r="C214" t="s">
        <v>31</v>
      </c>
      <c r="D214" t="s">
        <v>33</v>
      </c>
      <c r="E214" t="s">
        <v>12</v>
      </c>
      <c r="F214" t="s">
        <v>11</v>
      </c>
      <c r="G214" t="s">
        <v>15</v>
      </c>
      <c r="H214">
        <f t="shared" si="17"/>
        <v>2025</v>
      </c>
      <c r="I214">
        <f t="shared" si="18"/>
        <v>10</v>
      </c>
      <c r="J214" t="str">
        <f t="shared" si="19"/>
        <v>October</v>
      </c>
      <c r="K214" t="str">
        <f t="shared" si="20"/>
        <v>OK</v>
      </c>
      <c r="L214" t="str">
        <f>IF(COUNTIF(A$2:A214,A214)&gt;1,"Duplicate","Unique")</f>
        <v>Unique</v>
      </c>
      <c r="M214" t="str">
        <f t="shared" si="21"/>
        <v>Ready</v>
      </c>
      <c r="N214" t="str">
        <f>clean_data!D264 &amp; " - " &amp; clean_data!C264</f>
        <v>Hodan - Fraud</v>
      </c>
    </row>
    <row r="215" spans="1:14">
      <c r="A215" t="s">
        <v>17</v>
      </c>
      <c r="B215" s="1">
        <v>46000</v>
      </c>
      <c r="C215" t="str" cm="1">
        <f t="array" ref="C215">IF(C193="Unknown",INDEX(C$2:C$292,MODE(MATCH(C$2:C$292,C$2:C$292,0))),C193)</f>
        <v>Theft</v>
      </c>
      <c r="D215" t="s">
        <v>3</v>
      </c>
      <c r="E215" t="s">
        <v>2</v>
      </c>
      <c r="F215" t="s">
        <v>16</v>
      </c>
      <c r="G215" t="s">
        <v>15</v>
      </c>
      <c r="H215">
        <f t="shared" si="17"/>
        <v>2025</v>
      </c>
      <c r="I215">
        <f t="shared" si="18"/>
        <v>12</v>
      </c>
      <c r="J215" t="str">
        <f t="shared" si="19"/>
        <v>December</v>
      </c>
      <c r="K215" t="str">
        <f t="shared" si="20"/>
        <v>OK</v>
      </c>
      <c r="L215" t="str">
        <f>IF(COUNTIF(A$2:A215,A215)&gt;1,"Duplicate","Unique")</f>
        <v>Unique</v>
      </c>
      <c r="M215" t="str">
        <f t="shared" si="21"/>
        <v>Ready</v>
      </c>
      <c r="N215" t="str">
        <f>clean_data!D290 &amp; " - " &amp; clean_data!C290</f>
        <v>Karan - Theft</v>
      </c>
    </row>
    <row r="216" spans="1:14">
      <c r="A216" t="s">
        <v>101</v>
      </c>
      <c r="B216" s="1">
        <v>45833</v>
      </c>
      <c r="C216" t="s">
        <v>31</v>
      </c>
      <c r="D216" t="s">
        <v>3</v>
      </c>
      <c r="E216" t="s">
        <v>12</v>
      </c>
      <c r="F216" t="s">
        <v>16</v>
      </c>
      <c r="G216" t="s">
        <v>15</v>
      </c>
      <c r="H216">
        <f t="shared" si="17"/>
        <v>2025</v>
      </c>
      <c r="I216">
        <f t="shared" si="18"/>
        <v>6</v>
      </c>
      <c r="J216" t="str">
        <f t="shared" si="19"/>
        <v>June</v>
      </c>
      <c r="K216" t="str">
        <f t="shared" si="20"/>
        <v>OK</v>
      </c>
      <c r="L216" t="str">
        <f>IF(COUNTIF(A$2:A216,A216)&gt;1,"Duplicate","Unique")</f>
        <v>Unique</v>
      </c>
      <c r="M216" t="str">
        <f t="shared" si="21"/>
        <v>Ready</v>
      </c>
      <c r="N216" t="str">
        <f>clean_data!D216 &amp; " - " &amp; clean_data!C216</f>
        <v>Hodan - Fraud</v>
      </c>
    </row>
    <row r="217" spans="1:14">
      <c r="A217" t="s">
        <v>168</v>
      </c>
      <c r="B217" s="1">
        <v>45682</v>
      </c>
      <c r="C217" t="s">
        <v>27</v>
      </c>
      <c r="D217" t="s">
        <v>33</v>
      </c>
      <c r="E217" t="s">
        <v>12</v>
      </c>
      <c r="F217" t="s">
        <v>11</v>
      </c>
      <c r="G217" t="s">
        <v>15</v>
      </c>
      <c r="H217">
        <f t="shared" si="17"/>
        <v>2025</v>
      </c>
      <c r="I217">
        <f t="shared" si="18"/>
        <v>1</v>
      </c>
      <c r="J217" t="str">
        <f t="shared" si="19"/>
        <v>January</v>
      </c>
      <c r="K217" t="str">
        <f t="shared" si="20"/>
        <v>OK</v>
      </c>
      <c r="L217" t="str">
        <f>IF(COUNTIF(A$2:A217,A217)&gt;1,"Duplicate","Unique")</f>
        <v>Unique</v>
      </c>
      <c r="M217" t="str">
        <f t="shared" si="21"/>
        <v>Ready</v>
      </c>
      <c r="N217" t="str">
        <f>clean_data!D150 &amp; " - " &amp; clean_data!C150</f>
        <v>Waberi - Theft</v>
      </c>
    </row>
    <row r="218" spans="1:14">
      <c r="A218" t="s">
        <v>82</v>
      </c>
      <c r="B218" s="1">
        <v>45830</v>
      </c>
      <c r="C218" t="s">
        <v>27</v>
      </c>
      <c r="D218" t="s">
        <v>21</v>
      </c>
      <c r="E218" t="s">
        <v>2</v>
      </c>
      <c r="F218" t="s">
        <v>1</v>
      </c>
      <c r="G218" t="s">
        <v>15</v>
      </c>
      <c r="H218">
        <f t="shared" si="17"/>
        <v>2025</v>
      </c>
      <c r="I218">
        <f t="shared" si="18"/>
        <v>6</v>
      </c>
      <c r="J218" t="str">
        <f t="shared" si="19"/>
        <v>June</v>
      </c>
      <c r="K218" t="str">
        <f t="shared" si="20"/>
        <v>OK</v>
      </c>
      <c r="L218" t="str">
        <f>IF(COUNTIF(A$2:A218,A218)&gt;1,"Duplicate","Unique")</f>
        <v>Unique</v>
      </c>
      <c r="M218" t="str">
        <f t="shared" si="21"/>
        <v>Ready</v>
      </c>
      <c r="N218" t="str">
        <f>clean_data!D233 &amp; " - " &amp; clean_data!C233</f>
        <v>Yaqshid - Burglary</v>
      </c>
    </row>
    <row r="219" spans="1:14">
      <c r="A219" t="s">
        <v>65</v>
      </c>
      <c r="B219" s="1">
        <v>46087</v>
      </c>
      <c r="C219" t="s">
        <v>4</v>
      </c>
      <c r="D219" t="s">
        <v>3</v>
      </c>
      <c r="E219" t="s">
        <v>2</v>
      </c>
      <c r="F219" t="s">
        <v>1</v>
      </c>
      <c r="G219" t="s">
        <v>10</v>
      </c>
      <c r="H219">
        <f t="shared" si="17"/>
        <v>2026</v>
      </c>
      <c r="I219">
        <f t="shared" si="18"/>
        <v>3</v>
      </c>
      <c r="J219" t="str">
        <f t="shared" si="19"/>
        <v>March</v>
      </c>
      <c r="K219" t="str">
        <f t="shared" si="20"/>
        <v>OK</v>
      </c>
      <c r="L219" t="str">
        <f>IF(COUNTIF(A$2:A219,A219)&gt;1,"Duplicate","Unique")</f>
        <v>Unique</v>
      </c>
      <c r="M219" t="str">
        <f t="shared" si="21"/>
        <v>Ready</v>
      </c>
      <c r="N219" t="str">
        <f>clean_data!D251 &amp; " - " &amp; clean_data!C251</f>
        <v>Wadajir - Traffic Offense</v>
      </c>
    </row>
    <row r="220" spans="1:14">
      <c r="A220" t="s">
        <v>5</v>
      </c>
      <c r="B220" s="1">
        <v>46143</v>
      </c>
      <c r="C220" t="s">
        <v>4</v>
      </c>
      <c r="D220" t="s">
        <v>3</v>
      </c>
      <c r="E220" t="s">
        <v>2</v>
      </c>
      <c r="F220" t="s">
        <v>1</v>
      </c>
      <c r="G220" t="str">
        <f>IF(G205="Unknown","High",G205)</f>
        <v>High</v>
      </c>
      <c r="H220">
        <f t="shared" si="17"/>
        <v>2026</v>
      </c>
      <c r="I220">
        <f t="shared" si="18"/>
        <v>5</v>
      </c>
      <c r="J220" t="str">
        <f t="shared" si="19"/>
        <v>May</v>
      </c>
      <c r="K220" t="str">
        <f t="shared" si="20"/>
        <v>OK</v>
      </c>
      <c r="L220" t="str">
        <f>IF(COUNTIF(A$2:A220,A220)&gt;1,"Duplicate","Unique")</f>
        <v>Unique</v>
      </c>
      <c r="M220" t="str">
        <f t="shared" si="21"/>
        <v>Ready</v>
      </c>
      <c r="N220" t="str">
        <f>clean_data!D293 &amp; " - " &amp; clean_data!C293</f>
        <v>Hodan - Fraud</v>
      </c>
    </row>
    <row r="221" spans="1:14">
      <c r="A221" t="s">
        <v>161</v>
      </c>
      <c r="B221" s="1">
        <v>45991</v>
      </c>
      <c r="C221" t="s">
        <v>27</v>
      </c>
      <c r="D221" t="s">
        <v>26</v>
      </c>
      <c r="E221" t="s">
        <v>12</v>
      </c>
      <c r="F221" t="s">
        <v>47</v>
      </c>
      <c r="G221" t="s">
        <v>15</v>
      </c>
      <c r="H221">
        <f t="shared" si="17"/>
        <v>2025</v>
      </c>
      <c r="I221">
        <f t="shared" si="18"/>
        <v>11</v>
      </c>
      <c r="J221" t="str">
        <f t="shared" si="19"/>
        <v>November</v>
      </c>
      <c r="K221" t="str">
        <f t="shared" si="20"/>
        <v>OK</v>
      </c>
      <c r="L221" t="str">
        <f>IF(COUNTIF(A$2:A221,A221)&gt;1,"Duplicate","Unique")</f>
        <v>Unique</v>
      </c>
      <c r="M221" t="str">
        <f t="shared" si="21"/>
        <v>Ready</v>
      </c>
      <c r="N221" t="str">
        <f>clean_data!D156 &amp; " - " &amp; clean_data!C156</f>
        <v>Hodan - Theft</v>
      </c>
    </row>
    <row r="222" spans="1:14">
      <c r="A222" t="s">
        <v>239</v>
      </c>
      <c r="B222" s="1">
        <v>46002</v>
      </c>
      <c r="C222" t="str" cm="1">
        <f t="array" ref="C222">IF(C200="Unknown",INDEX(C$2:C$292,MODE(MATCH(C$2:C$292,C$2:C$292,0))),C200)</f>
        <v>Theft</v>
      </c>
      <c r="D222" t="s">
        <v>3</v>
      </c>
      <c r="E222" t="s">
        <v>12</v>
      </c>
      <c r="F222" t="s">
        <v>16</v>
      </c>
      <c r="G222" t="s">
        <v>15</v>
      </c>
      <c r="H222">
        <f t="shared" si="17"/>
        <v>2025</v>
      </c>
      <c r="I222">
        <f t="shared" si="18"/>
        <v>12</v>
      </c>
      <c r="J222" t="str">
        <f t="shared" si="19"/>
        <v>December</v>
      </c>
      <c r="K222" t="str">
        <f t="shared" si="20"/>
        <v>OK</v>
      </c>
      <c r="L222" t="str">
        <f>IF(COUNTIF(A$2:A222,A222)&gt;1,"Duplicate","Unique")</f>
        <v>Unique</v>
      </c>
      <c r="M222" t="str">
        <f t="shared" si="21"/>
        <v>Ready</v>
      </c>
      <c r="N222" t="str">
        <f>clean_data!D75 &amp; " - " &amp; clean_data!C75</f>
        <v>Daynile - Traffic Offense</v>
      </c>
    </row>
    <row r="223" spans="1:14">
      <c r="A223" t="s">
        <v>138</v>
      </c>
      <c r="B223" s="1">
        <v>45924</v>
      </c>
      <c r="C223" t="s">
        <v>27</v>
      </c>
      <c r="D223" t="s">
        <v>3</v>
      </c>
      <c r="E223" t="s">
        <v>12</v>
      </c>
      <c r="F223" t="str" cm="1">
        <f t="array" ref="F223">IF(F205="Unknown",INDEX(F$2:F$292,MODE(MATCH(F$2:F$292,F$2:F$292,0))),F205)</f>
        <v>Under Investigation</v>
      </c>
      <c r="G223" t="s">
        <v>15</v>
      </c>
      <c r="H223">
        <f t="shared" si="17"/>
        <v>2025</v>
      </c>
      <c r="I223">
        <f t="shared" si="18"/>
        <v>9</v>
      </c>
      <c r="J223" t="str">
        <f t="shared" si="19"/>
        <v>September</v>
      </c>
      <c r="K223" t="str">
        <f t="shared" si="20"/>
        <v>OK</v>
      </c>
      <c r="L223" t="str">
        <f>IF(COUNTIF(A$2:A223,A223)&gt;1,"Duplicate","Unique")</f>
        <v>Unique</v>
      </c>
      <c r="M223" t="str">
        <f t="shared" si="21"/>
        <v>Ready</v>
      </c>
      <c r="N223" t="str">
        <f>clean_data!D178 &amp; " - " &amp; clean_data!C178</f>
        <v>Wadajir - Fraud</v>
      </c>
    </row>
    <row r="224" spans="1:14">
      <c r="A224" t="s">
        <v>292</v>
      </c>
      <c r="B224" s="1">
        <v>45974</v>
      </c>
      <c r="C224" t="s">
        <v>4</v>
      </c>
      <c r="D224" t="s">
        <v>26</v>
      </c>
      <c r="E224" t="s">
        <v>12</v>
      </c>
      <c r="F224" t="s">
        <v>11</v>
      </c>
      <c r="G224" t="s">
        <v>10</v>
      </c>
      <c r="H224">
        <f t="shared" si="17"/>
        <v>2025</v>
      </c>
      <c r="I224">
        <f t="shared" si="18"/>
        <v>11</v>
      </c>
      <c r="J224" t="str">
        <f t="shared" si="19"/>
        <v>November</v>
      </c>
      <c r="K224" t="str">
        <f t="shared" si="20"/>
        <v>OK</v>
      </c>
      <c r="L224" t="str">
        <f>IF(COUNTIF(A$2:A224,A224)&gt;1,"Duplicate","Unique")</f>
        <v>Unique</v>
      </c>
      <c r="M224" t="str">
        <f t="shared" si="21"/>
        <v>Ready</v>
      </c>
      <c r="N224" t="str">
        <f>clean_data!D18 &amp; " - " &amp; clean_data!C18</f>
        <v>Waberi - Theft</v>
      </c>
    </row>
    <row r="225" spans="1:14">
      <c r="A225" t="s">
        <v>167</v>
      </c>
      <c r="B225" s="1">
        <v>45694</v>
      </c>
      <c r="C225" t="s">
        <v>31</v>
      </c>
      <c r="D225" t="s">
        <v>26</v>
      </c>
      <c r="E225" t="s">
        <v>12</v>
      </c>
      <c r="F225" t="s">
        <v>47</v>
      </c>
      <c r="G225" t="s">
        <v>15</v>
      </c>
      <c r="H225">
        <f t="shared" si="17"/>
        <v>2025</v>
      </c>
      <c r="I225">
        <f t="shared" si="18"/>
        <v>2</v>
      </c>
      <c r="J225" t="str">
        <f t="shared" si="19"/>
        <v>February</v>
      </c>
      <c r="K225" t="str">
        <f t="shared" si="20"/>
        <v>OK</v>
      </c>
      <c r="L225" t="str">
        <f>IF(COUNTIF(A$2:A225,A225)&gt;1,"Duplicate","Unique")</f>
        <v>Unique</v>
      </c>
      <c r="M225" t="str">
        <f t="shared" si="21"/>
        <v>Ready</v>
      </c>
      <c r="N225" t="str">
        <f>clean_data!D151 &amp; " - " &amp; clean_data!C151</f>
        <v>Daynile - Assault</v>
      </c>
    </row>
    <row r="226" spans="1:14">
      <c r="A226" t="s">
        <v>106</v>
      </c>
      <c r="B226" s="1">
        <v>46223</v>
      </c>
      <c r="C226" t="s">
        <v>4</v>
      </c>
      <c r="D226" t="s">
        <v>33</v>
      </c>
      <c r="E226" t="s">
        <v>2</v>
      </c>
      <c r="F226" t="s">
        <v>1</v>
      </c>
      <c r="G226" t="s">
        <v>10</v>
      </c>
      <c r="H226">
        <f t="shared" si="17"/>
        <v>2026</v>
      </c>
      <c r="I226">
        <f t="shared" si="18"/>
        <v>7</v>
      </c>
      <c r="J226" t="str">
        <f t="shared" si="19"/>
        <v>July</v>
      </c>
      <c r="K226" t="str">
        <f t="shared" si="20"/>
        <v>OK</v>
      </c>
      <c r="L226" t="str">
        <f>IF(COUNTIF(A$2:A226,A226)&gt;1,"Duplicate","Unique")</f>
        <v>Unique</v>
      </c>
      <c r="M226" t="str">
        <f t="shared" si="21"/>
        <v>Ready</v>
      </c>
      <c r="N226" t="str">
        <f>clean_data!D210 &amp; " - " &amp; clean_data!C210</f>
        <v>Hodan - Robbery</v>
      </c>
    </row>
    <row r="227" spans="1:14">
      <c r="A227" t="s">
        <v>64</v>
      </c>
      <c r="B227" s="1">
        <v>46044</v>
      </c>
      <c r="C227" t="s">
        <v>8</v>
      </c>
      <c r="D227" t="s">
        <v>3</v>
      </c>
      <c r="E227" t="s">
        <v>2</v>
      </c>
      <c r="F227" t="s">
        <v>1</v>
      </c>
      <c r="G227" t="s">
        <v>6</v>
      </c>
      <c r="H227">
        <f t="shared" si="17"/>
        <v>2026</v>
      </c>
      <c r="I227">
        <f t="shared" si="18"/>
        <v>1</v>
      </c>
      <c r="J227" t="str">
        <f t="shared" si="19"/>
        <v>January</v>
      </c>
      <c r="K227" t="str">
        <f t="shared" si="20"/>
        <v>OK</v>
      </c>
      <c r="L227" t="str">
        <f>IF(COUNTIF(A$2:A227,A227)&gt;1,"Duplicate","Unique")</f>
        <v>Unique</v>
      </c>
      <c r="M227" t="str">
        <f t="shared" si="21"/>
        <v>Ready</v>
      </c>
      <c r="N227" t="str">
        <f>clean_data!D252 &amp; " - " &amp; clean_data!C252</f>
        <v>Hodan - Robbery</v>
      </c>
    </row>
    <row r="228" spans="1:14">
      <c r="A228" t="s">
        <v>143</v>
      </c>
      <c r="B228" s="1">
        <v>45889</v>
      </c>
      <c r="C228" t="s">
        <v>27</v>
      </c>
      <c r="D228" t="s">
        <v>26</v>
      </c>
      <c r="E228" t="s">
        <v>12</v>
      </c>
      <c r="F228" t="s">
        <v>1</v>
      </c>
      <c r="G228" t="s">
        <v>15</v>
      </c>
      <c r="H228">
        <f t="shared" si="17"/>
        <v>2025</v>
      </c>
      <c r="I228">
        <f t="shared" si="18"/>
        <v>8</v>
      </c>
      <c r="J228" t="str">
        <f t="shared" si="19"/>
        <v>August</v>
      </c>
      <c r="K228" t="str">
        <f t="shared" si="20"/>
        <v>OK</v>
      </c>
      <c r="L228" t="str">
        <f>IF(COUNTIF(A$2:A228,A228)&gt;1,"Duplicate","Unique")</f>
        <v>Unique</v>
      </c>
      <c r="M228" t="str">
        <f t="shared" si="21"/>
        <v>Ready</v>
      </c>
      <c r="N228" t="str">
        <f>clean_data!D173 &amp; " - " &amp; clean_data!C173</f>
        <v>Wadajir - Burglary</v>
      </c>
    </row>
    <row r="229" spans="1:14">
      <c r="A229" t="s">
        <v>86</v>
      </c>
      <c r="B229" s="1">
        <v>45988</v>
      </c>
      <c r="C229" t="s">
        <v>27</v>
      </c>
      <c r="D229" t="s">
        <v>3</v>
      </c>
      <c r="E229" t="s">
        <v>2</v>
      </c>
      <c r="F229" t="str" cm="1">
        <f t="array" ref="F229">IF(F211="Unknown",INDEX(F$2:F$292,MODE(MATCH(F$2:F$292,F$2:F$292,0))),F211)</f>
        <v>Closed</v>
      </c>
      <c r="G229" t="s">
        <v>15</v>
      </c>
      <c r="H229">
        <f t="shared" si="17"/>
        <v>2025</v>
      </c>
      <c r="I229">
        <f t="shared" si="18"/>
        <v>11</v>
      </c>
      <c r="J229" t="str">
        <f t="shared" si="19"/>
        <v>November</v>
      </c>
      <c r="K229" t="str">
        <f t="shared" si="20"/>
        <v>OK</v>
      </c>
      <c r="L229" t="str">
        <f>IF(COUNTIF(A$2:A229,A229)&gt;1,"Duplicate","Unique")</f>
        <v>Unique</v>
      </c>
      <c r="M229" t="str">
        <f t="shared" si="21"/>
        <v>Ready</v>
      </c>
      <c r="N229" t="str">
        <f>clean_data!D229 &amp; " - " &amp; clean_data!C229</f>
        <v>Hodan - Theft</v>
      </c>
    </row>
    <row r="230" spans="1:14">
      <c r="A230" t="s">
        <v>24</v>
      </c>
      <c r="B230" s="1">
        <v>45822</v>
      </c>
      <c r="C230" t="s">
        <v>22</v>
      </c>
      <c r="D230" t="s">
        <v>7</v>
      </c>
      <c r="E230" t="s">
        <v>12</v>
      </c>
      <c r="F230" t="s">
        <v>11</v>
      </c>
      <c r="G230" t="s">
        <v>15</v>
      </c>
      <c r="H230">
        <f t="shared" si="17"/>
        <v>2025</v>
      </c>
      <c r="I230">
        <f t="shared" si="18"/>
        <v>6</v>
      </c>
      <c r="J230" t="str">
        <f t="shared" si="19"/>
        <v>June</v>
      </c>
      <c r="K230" t="str">
        <f t="shared" si="20"/>
        <v>OK</v>
      </c>
      <c r="L230" t="str">
        <f>IF(COUNTIF(A$2:A230,A230)&gt;1,"Duplicate","Unique")</f>
        <v>Unique</v>
      </c>
      <c r="M230" t="str">
        <f t="shared" si="21"/>
        <v>Ready</v>
      </c>
      <c r="N230" t="str">
        <f>clean_data!D285 &amp; " - " &amp; clean_data!C285</f>
        <v>Hodan - Fraud</v>
      </c>
    </row>
    <row r="231" spans="1:14">
      <c r="A231" t="s">
        <v>142</v>
      </c>
      <c r="B231" s="1">
        <v>45723</v>
      </c>
      <c r="C231" t="s">
        <v>31</v>
      </c>
      <c r="D231" t="s">
        <v>26</v>
      </c>
      <c r="E231" t="s">
        <v>2</v>
      </c>
      <c r="F231" t="s">
        <v>1</v>
      </c>
      <c r="G231" t="s">
        <v>15</v>
      </c>
      <c r="H231">
        <f t="shared" si="17"/>
        <v>2025</v>
      </c>
      <c r="I231">
        <f t="shared" si="18"/>
        <v>3</v>
      </c>
      <c r="J231" t="str">
        <f t="shared" si="19"/>
        <v>March</v>
      </c>
      <c r="K231" t="str">
        <f t="shared" si="20"/>
        <v>OK</v>
      </c>
      <c r="L231" t="str">
        <f>IF(COUNTIF(A$2:A231,A231)&gt;1,"Duplicate","Unique")</f>
        <v>Unique</v>
      </c>
      <c r="M231" t="str">
        <f t="shared" si="21"/>
        <v>Ready</v>
      </c>
      <c r="N231" t="str">
        <f>clean_data!D174 &amp; " - " &amp; clean_data!C174</f>
        <v>Yaqshid - Assault</v>
      </c>
    </row>
    <row r="232" spans="1:14">
      <c r="A232" t="s">
        <v>284</v>
      </c>
      <c r="B232" s="1">
        <v>45885</v>
      </c>
      <c r="C232" t="str" cm="1">
        <f t="array" ref="C232">IF(C210="Unknown",INDEX(C$2:C$292,MODE(MATCH(C$2:C$292,C$2:C$292,0))),C210)</f>
        <v>Robbery</v>
      </c>
      <c r="D232" t="s">
        <v>21</v>
      </c>
      <c r="E232" t="s">
        <v>2</v>
      </c>
      <c r="F232" t="s">
        <v>16</v>
      </c>
      <c r="G232" t="s">
        <v>15</v>
      </c>
      <c r="H232">
        <f t="shared" si="17"/>
        <v>2025</v>
      </c>
      <c r="I232">
        <f t="shared" si="18"/>
        <v>8</v>
      </c>
      <c r="J232" t="str">
        <f t="shared" si="19"/>
        <v>August</v>
      </c>
      <c r="K232" t="str">
        <f t="shared" si="20"/>
        <v>OK</v>
      </c>
      <c r="L232" t="str">
        <f>IF(COUNTIF(A$2:A232,A232)&gt;1,"Duplicate","Unique")</f>
        <v>Unique</v>
      </c>
      <c r="M232" t="str">
        <f t="shared" si="21"/>
        <v>Ready</v>
      </c>
      <c r="N232" t="str">
        <f>clean_data!D26 &amp; " - " &amp; clean_data!C26</f>
        <v>Daynile - Traffic Offense</v>
      </c>
    </row>
    <row r="233" spans="1:14">
      <c r="A233" t="s">
        <v>97</v>
      </c>
      <c r="B233" s="1">
        <v>45867</v>
      </c>
      <c r="C233" t="s">
        <v>22</v>
      </c>
      <c r="D233" t="s">
        <v>26</v>
      </c>
      <c r="E233" t="s">
        <v>12</v>
      </c>
      <c r="F233" t="s">
        <v>1</v>
      </c>
      <c r="G233" t="s">
        <v>96</v>
      </c>
      <c r="H233">
        <f t="shared" si="17"/>
        <v>2025</v>
      </c>
      <c r="I233">
        <f t="shared" si="18"/>
        <v>7</v>
      </c>
      <c r="J233" t="str">
        <f t="shared" si="19"/>
        <v>July</v>
      </c>
      <c r="K233" t="str">
        <f t="shared" si="20"/>
        <v>OK</v>
      </c>
      <c r="L233" t="str">
        <f>IF(COUNTIF(A$2:A233,A233)&gt;1,"Duplicate","Unique")</f>
        <v>Unique</v>
      </c>
      <c r="M233" t="str">
        <f t="shared" si="21"/>
        <v>Ready</v>
      </c>
      <c r="N233" t="str">
        <f>clean_data!D219 &amp; " - " &amp; clean_data!C219</f>
        <v>Hodan - Traffic Offense</v>
      </c>
    </row>
    <row r="234" spans="1:14">
      <c r="A234" t="s">
        <v>207</v>
      </c>
      <c r="B234" s="1">
        <v>46206</v>
      </c>
      <c r="C234" t="s">
        <v>31</v>
      </c>
      <c r="D234" t="s">
        <v>3</v>
      </c>
      <c r="E234" t="s">
        <v>2</v>
      </c>
      <c r="F234" t="s">
        <v>47</v>
      </c>
      <c r="G234" t="s">
        <v>15</v>
      </c>
      <c r="H234">
        <f t="shared" si="17"/>
        <v>2026</v>
      </c>
      <c r="I234">
        <f t="shared" si="18"/>
        <v>7</v>
      </c>
      <c r="J234" t="str">
        <f t="shared" si="19"/>
        <v>July</v>
      </c>
      <c r="K234" t="str">
        <f t="shared" si="20"/>
        <v>OK</v>
      </c>
      <c r="L234" t="str">
        <f>IF(COUNTIF(A$2:A234,A234)&gt;1,"Duplicate","Unique")</f>
        <v>Unique</v>
      </c>
      <c r="M234" t="str">
        <f t="shared" si="21"/>
        <v>Ready</v>
      </c>
      <c r="N234" t="str">
        <f>clean_data!D106 &amp; " - " &amp; clean_data!C106</f>
        <v>Karan - Robbery</v>
      </c>
    </row>
    <row r="235" spans="1:14">
      <c r="A235" t="s">
        <v>115</v>
      </c>
      <c r="B235" s="1">
        <v>45761</v>
      </c>
      <c r="C235" t="s">
        <v>27</v>
      </c>
      <c r="D235" t="s">
        <v>7</v>
      </c>
      <c r="E235" t="s">
        <v>2</v>
      </c>
      <c r="F235" t="s">
        <v>16</v>
      </c>
      <c r="G235" t="s">
        <v>15</v>
      </c>
      <c r="H235">
        <f t="shared" si="17"/>
        <v>2025</v>
      </c>
      <c r="I235">
        <f t="shared" si="18"/>
        <v>4</v>
      </c>
      <c r="J235" t="str">
        <f t="shared" si="19"/>
        <v>April</v>
      </c>
      <c r="K235" t="str">
        <f t="shared" si="20"/>
        <v>OK</v>
      </c>
      <c r="L235" t="str">
        <f>IF(COUNTIF(A$2:A235,A235)&gt;1,"Duplicate","Unique")</f>
        <v>Unique</v>
      </c>
      <c r="M235" t="str">
        <f t="shared" si="21"/>
        <v>Ready</v>
      </c>
      <c r="N235" t="str">
        <f>clean_data!D202 &amp; " - " &amp; clean_data!C202</f>
        <v>Wadajir - Traffic Offense</v>
      </c>
    </row>
    <row r="236" spans="1:14">
      <c r="A236" t="s">
        <v>137</v>
      </c>
      <c r="B236" s="1">
        <v>46051</v>
      </c>
      <c r="C236" t="str" cm="1">
        <f t="array" ref="C236">IF(C214="Unknown",INDEX(C$2:C$292,MODE(MATCH(C$2:C$292,C$2:C$292,0))),C214)</f>
        <v>Fraud</v>
      </c>
      <c r="D236" t="s">
        <v>7</v>
      </c>
      <c r="E236" t="s">
        <v>12</v>
      </c>
      <c r="F236" t="s">
        <v>11</v>
      </c>
      <c r="G236" t="s">
        <v>6</v>
      </c>
      <c r="H236">
        <f t="shared" si="17"/>
        <v>2026</v>
      </c>
      <c r="I236">
        <f t="shared" si="18"/>
        <v>1</v>
      </c>
      <c r="J236" t="str">
        <f t="shared" si="19"/>
        <v>January</v>
      </c>
      <c r="K236" t="str">
        <f t="shared" si="20"/>
        <v>OK</v>
      </c>
      <c r="L236" t="str">
        <f>IF(COUNTIF(A$2:A236,A236)&gt;1,"Duplicate","Unique")</f>
        <v>Unique</v>
      </c>
      <c r="M236" t="str">
        <f t="shared" si="21"/>
        <v>Ready</v>
      </c>
      <c r="N236" t="str">
        <f>clean_data!D179 &amp; " - " &amp; clean_data!C179</f>
        <v>Hodan - Theft</v>
      </c>
    </row>
    <row r="237" spans="1:14">
      <c r="A237" t="s">
        <v>253</v>
      </c>
      <c r="B237" s="1">
        <v>45710</v>
      </c>
      <c r="C237" t="s">
        <v>27</v>
      </c>
      <c r="D237" t="s">
        <v>7</v>
      </c>
      <c r="E237" t="s">
        <v>30</v>
      </c>
      <c r="F237" t="s">
        <v>16</v>
      </c>
      <c r="G237" t="s">
        <v>15</v>
      </c>
      <c r="H237">
        <f t="shared" si="17"/>
        <v>2025</v>
      </c>
      <c r="I237">
        <f t="shared" si="18"/>
        <v>2</v>
      </c>
      <c r="J237" t="str">
        <f t="shared" si="19"/>
        <v>February</v>
      </c>
      <c r="K237" t="str">
        <f t="shared" si="20"/>
        <v>Needs Review</v>
      </c>
      <c r="L237" t="str">
        <f>IF(COUNTIF(A$2:A237,A237)&gt;1,"Duplicate","Unique")</f>
        <v>Unique</v>
      </c>
      <c r="M237" t="str">
        <f t="shared" si="21"/>
        <v>Review</v>
      </c>
      <c r="N237" t="str">
        <f>clean_data!D59 &amp; " - " &amp; clean_data!C59</f>
        <v>Hodan - Traffic Offense</v>
      </c>
    </row>
    <row r="238" spans="1:14">
      <c r="A238" t="s">
        <v>63</v>
      </c>
      <c r="B238" s="1">
        <v>45746</v>
      </c>
      <c r="C238" t="s">
        <v>27</v>
      </c>
      <c r="D238" t="s">
        <v>3</v>
      </c>
      <c r="E238" t="s">
        <v>315</v>
      </c>
      <c r="F238" t="s">
        <v>1</v>
      </c>
      <c r="G238" t="s">
        <v>15</v>
      </c>
      <c r="H238">
        <f t="shared" si="17"/>
        <v>2025</v>
      </c>
      <c r="I238">
        <f t="shared" si="18"/>
        <v>3</v>
      </c>
      <c r="J238" t="str">
        <f t="shared" si="19"/>
        <v>March</v>
      </c>
      <c r="K238" t="str">
        <f t="shared" si="20"/>
        <v>Needs Review</v>
      </c>
      <c r="L238" t="str">
        <f>IF(COUNTIF(A$2:A238,A238)&gt;1,"Duplicate","Unique")</f>
        <v>Unique</v>
      </c>
      <c r="M238" t="str">
        <f t="shared" si="21"/>
        <v>Review</v>
      </c>
      <c r="N238" t="str">
        <f>clean_data!D253 &amp; " - " &amp; clean_data!C253</f>
        <v>Hodan - Fraud</v>
      </c>
    </row>
    <row r="239" spans="1:14">
      <c r="A239" t="s">
        <v>14</v>
      </c>
      <c r="B239" s="1">
        <v>45681</v>
      </c>
      <c r="C239" t="s">
        <v>4</v>
      </c>
      <c r="D239" t="s">
        <v>13</v>
      </c>
      <c r="E239" t="s">
        <v>12</v>
      </c>
      <c r="F239" t="s">
        <v>11</v>
      </c>
      <c r="G239" t="s">
        <v>10</v>
      </c>
      <c r="H239">
        <f t="shared" si="17"/>
        <v>2025</v>
      </c>
      <c r="I239">
        <f t="shared" si="18"/>
        <v>1</v>
      </c>
      <c r="J239" t="str">
        <f t="shared" si="19"/>
        <v>January</v>
      </c>
      <c r="K239" t="str">
        <f t="shared" si="20"/>
        <v>OK</v>
      </c>
      <c r="L239" t="str">
        <f>IF(COUNTIF(A$2:A239,A239)&gt;1,"Duplicate","Unique")</f>
        <v>Unique</v>
      </c>
      <c r="M239" t="str">
        <f t="shared" si="21"/>
        <v>Ready</v>
      </c>
      <c r="N239" t="str">
        <f>clean_data!D291 &amp; " - " &amp; clean_data!C291</f>
        <v>Waberi - Burglary</v>
      </c>
    </row>
    <row r="240" spans="1:14">
      <c r="A240" t="s">
        <v>35</v>
      </c>
      <c r="B240" s="1">
        <v>45908</v>
      </c>
      <c r="C240" t="s">
        <v>4</v>
      </c>
      <c r="D240" t="s">
        <v>13</v>
      </c>
      <c r="E240" t="s">
        <v>2</v>
      </c>
      <c r="F240" t="s">
        <v>11</v>
      </c>
      <c r="G240" t="s">
        <v>10</v>
      </c>
      <c r="H240">
        <f t="shared" si="17"/>
        <v>2025</v>
      </c>
      <c r="I240">
        <f t="shared" si="18"/>
        <v>9</v>
      </c>
      <c r="J240" t="str">
        <f t="shared" si="19"/>
        <v>September</v>
      </c>
      <c r="K240" t="str">
        <f t="shared" si="20"/>
        <v>OK</v>
      </c>
      <c r="L240" t="str">
        <f>IF(COUNTIF(A$2:A240,A240)&gt;1,"Duplicate","Unique")</f>
        <v>Unique</v>
      </c>
      <c r="M240" t="str">
        <f t="shared" si="21"/>
        <v>Ready</v>
      </c>
      <c r="N240" t="str">
        <f>clean_data!D280 &amp; " - " &amp; clean_data!C280</f>
        <v>Yaqshid - Assault</v>
      </c>
    </row>
    <row r="241" spans="1:14">
      <c r="A241" t="s">
        <v>307</v>
      </c>
      <c r="B241" s="1">
        <v>45849</v>
      </c>
      <c r="C241" t="s">
        <v>27</v>
      </c>
      <c r="D241" t="s">
        <v>21</v>
      </c>
      <c r="E241" t="s">
        <v>2</v>
      </c>
      <c r="F241" t="s">
        <v>1</v>
      </c>
      <c r="G241" t="str">
        <f>IF(G226="Unknown","High",G226)</f>
        <v>Low</v>
      </c>
      <c r="H241">
        <f t="shared" si="17"/>
        <v>2025</v>
      </c>
      <c r="I241">
        <f t="shared" si="18"/>
        <v>7</v>
      </c>
      <c r="J241" t="str">
        <f t="shared" si="19"/>
        <v>July</v>
      </c>
      <c r="K241" t="str">
        <f t="shared" si="20"/>
        <v>OK</v>
      </c>
      <c r="L241" t="str">
        <f>IF(COUNTIF(A$2:A241,A241)&gt;1,"Duplicate","Unique")</f>
        <v>Unique</v>
      </c>
      <c r="M241" t="str">
        <f t="shared" si="21"/>
        <v>Ready</v>
      </c>
      <c r="N241" t="str">
        <f>clean_data!D2 &amp; " - " &amp; clean_data!C2</f>
        <v>Waberi - Assault</v>
      </c>
    </row>
    <row r="242" spans="1:14">
      <c r="A242" t="s">
        <v>19</v>
      </c>
      <c r="B242" s="1">
        <f>IF(B2="Unknown",MEDIAN($B$2:$B$292),B2)</f>
        <v>46215</v>
      </c>
      <c r="C242" t="s">
        <v>8</v>
      </c>
      <c r="D242" t="s">
        <v>13</v>
      </c>
      <c r="E242" t="s">
        <v>12</v>
      </c>
      <c r="F242" t="s">
        <v>1</v>
      </c>
      <c r="G242" t="s">
        <v>6</v>
      </c>
      <c r="H242">
        <f t="shared" si="17"/>
        <v>2026</v>
      </c>
      <c r="I242">
        <f t="shared" si="18"/>
        <v>7</v>
      </c>
      <c r="J242" t="str">
        <f t="shared" si="19"/>
        <v>July</v>
      </c>
      <c r="K242" t="str">
        <f t="shared" si="20"/>
        <v>OK</v>
      </c>
      <c r="L242" t="str">
        <f>IF(COUNTIF(A$2:A242,A242)&gt;1,"Duplicate","Unique")</f>
        <v>Unique</v>
      </c>
      <c r="M242" t="str">
        <f t="shared" si="21"/>
        <v>Ready</v>
      </c>
      <c r="N242" t="str">
        <f>clean_data!D288 &amp; " - " &amp; clean_data!C288</f>
        <v>Waberi - Theft</v>
      </c>
    </row>
    <row r="243" spans="1:14">
      <c r="A243" t="s">
        <v>18</v>
      </c>
      <c r="B243" s="1">
        <v>45691</v>
      </c>
      <c r="C243" t="s">
        <v>8</v>
      </c>
      <c r="D243" t="s">
        <v>7</v>
      </c>
      <c r="E243" t="s">
        <v>12</v>
      </c>
      <c r="F243" t="s">
        <v>11</v>
      </c>
      <c r="G243" t="str">
        <f>IF(G228="Unknown","High",G228)</f>
        <v>Medium</v>
      </c>
      <c r="H243">
        <f t="shared" si="17"/>
        <v>2025</v>
      </c>
      <c r="I243">
        <f t="shared" si="18"/>
        <v>2</v>
      </c>
      <c r="J243" t="str">
        <f t="shared" si="19"/>
        <v>February</v>
      </c>
      <c r="K243" t="str">
        <f t="shared" si="20"/>
        <v>OK</v>
      </c>
      <c r="L243" t="str">
        <f>IF(COUNTIF(A$2:A243,A243)&gt;1,"Duplicate","Unique")</f>
        <v>Unique</v>
      </c>
      <c r="M243" t="str">
        <f t="shared" si="21"/>
        <v>Ready</v>
      </c>
      <c r="N243" t="str">
        <f>clean_data!D289 &amp; " - " &amp; clean_data!C289</f>
        <v>Hodan - Assault</v>
      </c>
    </row>
    <row r="244" spans="1:14">
      <c r="A244" t="s">
        <v>231</v>
      </c>
      <c r="B244" s="1">
        <v>45921</v>
      </c>
      <c r="C244" t="s">
        <v>36</v>
      </c>
      <c r="D244" t="s">
        <v>33</v>
      </c>
      <c r="E244" t="s">
        <v>12</v>
      </c>
      <c r="F244" t="s">
        <v>11</v>
      </c>
      <c r="G244" t="s">
        <v>6</v>
      </c>
      <c r="H244">
        <f t="shared" si="17"/>
        <v>2025</v>
      </c>
      <c r="I244">
        <f t="shared" si="18"/>
        <v>9</v>
      </c>
      <c r="J244" t="str">
        <f t="shared" si="19"/>
        <v>September</v>
      </c>
      <c r="K244" t="str">
        <f t="shared" si="20"/>
        <v>OK</v>
      </c>
      <c r="L244" t="str">
        <f>IF(COUNTIF(A$2:A244,A244)&gt;1,"Duplicate","Unique")</f>
        <v>Unique</v>
      </c>
      <c r="M244" t="str">
        <f t="shared" si="21"/>
        <v>Ready</v>
      </c>
      <c r="N244" t="str">
        <f>clean_data!D82 &amp; " - " &amp; clean_data!C82</f>
        <v>Wadajir - Traffic Offense</v>
      </c>
    </row>
    <row r="245" spans="1:14">
      <c r="A245" t="s">
        <v>105</v>
      </c>
      <c r="B245" s="1">
        <v>46230</v>
      </c>
      <c r="C245" t="s">
        <v>31</v>
      </c>
      <c r="D245" t="s">
        <v>26</v>
      </c>
      <c r="E245" t="s">
        <v>2</v>
      </c>
      <c r="F245" t="s">
        <v>1</v>
      </c>
      <c r="G245" t="s">
        <v>15</v>
      </c>
      <c r="H245">
        <f t="shared" si="17"/>
        <v>2026</v>
      </c>
      <c r="I245">
        <f t="shared" si="18"/>
        <v>7</v>
      </c>
      <c r="J245" t="str">
        <f t="shared" si="19"/>
        <v>July</v>
      </c>
      <c r="K245" t="str">
        <f t="shared" si="20"/>
        <v>OK</v>
      </c>
      <c r="L245" t="str">
        <f>IF(COUNTIF(A$2:A245,A245)&gt;1,"Duplicate","Unique")</f>
        <v>Unique</v>
      </c>
      <c r="M245" t="str">
        <f t="shared" si="21"/>
        <v>Ready</v>
      </c>
      <c r="N245" t="str">
        <f>clean_data!D211 &amp; " - " &amp; clean_data!C211</f>
        <v>Karan - Assault</v>
      </c>
    </row>
    <row r="246" spans="1:14">
      <c r="A246" t="s">
        <v>278</v>
      </c>
      <c r="B246" s="1">
        <v>46208</v>
      </c>
      <c r="C246" t="s">
        <v>22</v>
      </c>
      <c r="D246" t="s">
        <v>26</v>
      </c>
      <c r="E246" t="s">
        <v>30</v>
      </c>
      <c r="F246" t="s">
        <v>11</v>
      </c>
      <c r="G246" t="s">
        <v>15</v>
      </c>
      <c r="H246">
        <f t="shared" si="17"/>
        <v>2026</v>
      </c>
      <c r="I246">
        <f t="shared" si="18"/>
        <v>7</v>
      </c>
      <c r="J246" t="str">
        <f t="shared" si="19"/>
        <v>July</v>
      </c>
      <c r="K246" t="str">
        <f t="shared" si="20"/>
        <v>Needs Review</v>
      </c>
      <c r="L246" t="str">
        <f>IF(COUNTIF(A$2:A246,A246)&gt;1,"Duplicate","Unique")</f>
        <v>Unique</v>
      </c>
      <c r="M246" t="str">
        <f t="shared" si="21"/>
        <v>Review</v>
      </c>
      <c r="N246" t="str">
        <f>clean_data!D32 &amp; " - " &amp; clean_data!C32</f>
        <v>Yaqshid - Theft</v>
      </c>
    </row>
    <row r="247" spans="1:14">
      <c r="A247" t="s">
        <v>141</v>
      </c>
      <c r="B247" s="1">
        <f>IF(B2="Unknown",MEDIAN($B$2:$B$292),B2)</f>
        <v>46215</v>
      </c>
      <c r="C247" t="s">
        <v>27</v>
      </c>
      <c r="D247" t="s">
        <v>7</v>
      </c>
      <c r="E247" t="s">
        <v>12</v>
      </c>
      <c r="F247" t="s">
        <v>11</v>
      </c>
      <c r="G247" t="s">
        <v>15</v>
      </c>
      <c r="H247">
        <f t="shared" si="17"/>
        <v>2026</v>
      </c>
      <c r="I247">
        <f t="shared" si="18"/>
        <v>7</v>
      </c>
      <c r="J247" t="str">
        <f t="shared" si="19"/>
        <v>July</v>
      </c>
      <c r="K247" t="str">
        <f t="shared" si="20"/>
        <v>OK</v>
      </c>
      <c r="L247" t="str">
        <f>IF(COUNTIF(A$2:A247,A247)&gt;1,"Duplicate","Unique")</f>
        <v>Unique</v>
      </c>
      <c r="M247" t="str">
        <f t="shared" si="21"/>
        <v>Ready</v>
      </c>
      <c r="N247" t="str">
        <f>clean_data!D175 &amp; " - " &amp; clean_data!C175</f>
        <v>Hodan - Fraud</v>
      </c>
    </row>
    <row r="248" spans="1:14">
      <c r="A248" t="s">
        <v>176</v>
      </c>
      <c r="B248" s="1">
        <v>46008</v>
      </c>
      <c r="C248" t="s">
        <v>36</v>
      </c>
      <c r="D248" t="s">
        <v>3</v>
      </c>
      <c r="E248" t="s">
        <v>12</v>
      </c>
      <c r="F248" t="s">
        <v>11</v>
      </c>
      <c r="G248" t="s">
        <v>6</v>
      </c>
      <c r="H248">
        <f t="shared" si="17"/>
        <v>2025</v>
      </c>
      <c r="I248">
        <f t="shared" si="18"/>
        <v>12</v>
      </c>
      <c r="J248" t="str">
        <f t="shared" si="19"/>
        <v>December</v>
      </c>
      <c r="K248" t="str">
        <f t="shared" si="20"/>
        <v>OK</v>
      </c>
      <c r="L248" t="str">
        <f>IF(COUNTIF(A$2:A248,A248)&gt;1,"Duplicate","Unique")</f>
        <v>Unique</v>
      </c>
      <c r="M248" t="str">
        <f t="shared" si="21"/>
        <v>Ready</v>
      </c>
      <c r="N248" t="str">
        <f>clean_data!D141 &amp; " - " &amp; clean_data!C141</f>
        <v>Hodan - Burglary</v>
      </c>
    </row>
    <row r="249" spans="1:14">
      <c r="A249" t="s">
        <v>250</v>
      </c>
      <c r="B249" s="1">
        <v>46016</v>
      </c>
      <c r="C249" t="s">
        <v>31</v>
      </c>
      <c r="D249" t="s">
        <v>7</v>
      </c>
      <c r="E249" t="s">
        <v>315</v>
      </c>
      <c r="F249" t="s">
        <v>16</v>
      </c>
      <c r="G249" t="s">
        <v>15</v>
      </c>
      <c r="H249">
        <f t="shared" si="17"/>
        <v>2025</v>
      </c>
      <c r="I249">
        <f t="shared" si="18"/>
        <v>12</v>
      </c>
      <c r="J249" t="str">
        <f t="shared" si="19"/>
        <v>December</v>
      </c>
      <c r="K249" t="str">
        <f t="shared" si="20"/>
        <v>Needs Review</v>
      </c>
      <c r="L249" t="str">
        <f>IF(COUNTIF(A$2:A249,A249)&gt;1,"Duplicate","Unique")</f>
        <v>Unique</v>
      </c>
      <c r="M249" t="str">
        <f t="shared" si="21"/>
        <v>Review</v>
      </c>
      <c r="N249" t="str">
        <f>clean_data!D63 &amp; " - " &amp; clean_data!C63</f>
        <v>Wadajir - Theft</v>
      </c>
    </row>
    <row r="250" spans="1:14">
      <c r="A250" t="s">
        <v>281</v>
      </c>
      <c r="B250" s="1">
        <v>45922</v>
      </c>
      <c r="C250" t="s">
        <v>8</v>
      </c>
      <c r="D250" t="s">
        <v>3</v>
      </c>
      <c r="E250" t="s">
        <v>2</v>
      </c>
      <c r="F250" t="s">
        <v>1</v>
      </c>
      <c r="G250" t="s">
        <v>6</v>
      </c>
      <c r="H250">
        <f t="shared" si="17"/>
        <v>2025</v>
      </c>
      <c r="I250">
        <f t="shared" si="18"/>
        <v>9</v>
      </c>
      <c r="J250" t="str">
        <f t="shared" si="19"/>
        <v>September</v>
      </c>
      <c r="K250" t="str">
        <f t="shared" si="20"/>
        <v>OK</v>
      </c>
      <c r="L250" t="str">
        <f>IF(COUNTIF(A$2:A250,A250)&gt;1,"Duplicate","Unique")</f>
        <v>Unique</v>
      </c>
      <c r="M250" t="str">
        <f t="shared" si="21"/>
        <v>Ready</v>
      </c>
      <c r="N250" t="str">
        <f>clean_data!D29 &amp; " - " &amp; clean_data!C29</f>
        <v>Wadajir - Theft</v>
      </c>
    </row>
    <row r="251" spans="1:14">
      <c r="A251" t="s">
        <v>217</v>
      </c>
      <c r="B251" s="1">
        <v>46218</v>
      </c>
      <c r="C251" t="s">
        <v>4</v>
      </c>
      <c r="D251" t="s">
        <v>7</v>
      </c>
      <c r="E251" t="s">
        <v>2</v>
      </c>
      <c r="F251" t="s">
        <v>16</v>
      </c>
      <c r="G251" t="s">
        <v>10</v>
      </c>
      <c r="H251">
        <f t="shared" si="17"/>
        <v>2026</v>
      </c>
      <c r="I251">
        <f t="shared" si="18"/>
        <v>7</v>
      </c>
      <c r="J251" t="str">
        <f t="shared" si="19"/>
        <v>July</v>
      </c>
      <c r="K251" t="str">
        <f t="shared" si="20"/>
        <v>OK</v>
      </c>
      <c r="L251" t="str">
        <f>IF(COUNTIF(A$2:A251,A251)&gt;1,"Duplicate","Unique")</f>
        <v>Unique</v>
      </c>
      <c r="M251" t="str">
        <f t="shared" si="21"/>
        <v>Ready</v>
      </c>
      <c r="N251" t="str">
        <f>clean_data!D96 &amp; " - " &amp; clean_data!C96</f>
        <v>Wadajir - Assault</v>
      </c>
    </row>
    <row r="252" spans="1:14">
      <c r="A252" t="s">
        <v>130</v>
      </c>
      <c r="B252" s="1">
        <v>45848</v>
      </c>
      <c r="C252" t="s">
        <v>8</v>
      </c>
      <c r="D252" t="s">
        <v>3</v>
      </c>
      <c r="E252" t="s">
        <v>12</v>
      </c>
      <c r="F252" t="s">
        <v>1</v>
      </c>
      <c r="G252" t="s">
        <v>6</v>
      </c>
      <c r="H252">
        <f t="shared" si="17"/>
        <v>2025</v>
      </c>
      <c r="I252">
        <f t="shared" si="18"/>
        <v>7</v>
      </c>
      <c r="J252" t="str">
        <f t="shared" si="19"/>
        <v>July</v>
      </c>
      <c r="K252" t="str">
        <f t="shared" si="20"/>
        <v>OK</v>
      </c>
      <c r="L252" t="str">
        <f>IF(COUNTIF(A$2:A252,A252)&gt;1,"Duplicate","Unique")</f>
        <v>Unique</v>
      </c>
      <c r="M252" t="str">
        <f t="shared" si="21"/>
        <v>Ready</v>
      </c>
      <c r="N252" t="str">
        <f>clean_data!D186 &amp; " - " &amp; clean_data!C186</f>
        <v>Yaqshid - Robbery</v>
      </c>
    </row>
    <row r="253" spans="1:14">
      <c r="A253" t="s">
        <v>254</v>
      </c>
      <c r="B253" s="1">
        <f>IF(B2="Unknown",MEDIAN($B$2:$B$292),B2)</f>
        <v>46215</v>
      </c>
      <c r="C253" t="s">
        <v>31</v>
      </c>
      <c r="D253" t="s">
        <v>3</v>
      </c>
      <c r="E253" t="s">
        <v>12</v>
      </c>
      <c r="F253" t="s">
        <v>16</v>
      </c>
      <c r="G253" t="s">
        <v>15</v>
      </c>
      <c r="H253">
        <f t="shared" si="17"/>
        <v>2026</v>
      </c>
      <c r="I253">
        <f t="shared" si="18"/>
        <v>7</v>
      </c>
      <c r="J253" t="str">
        <f t="shared" si="19"/>
        <v>July</v>
      </c>
      <c r="K253" t="str">
        <f t="shared" si="20"/>
        <v>OK</v>
      </c>
      <c r="L253" t="str">
        <f>IF(COUNTIF(A$2:A253,A253)&gt;1,"Duplicate","Unique")</f>
        <v>Unique</v>
      </c>
      <c r="M253" t="str">
        <f t="shared" si="21"/>
        <v>Ready</v>
      </c>
      <c r="N253" t="str">
        <f>clean_data!D58 &amp; " - " &amp; clean_data!C58</f>
        <v>Hodan - Robbery</v>
      </c>
    </row>
    <row r="254" spans="1:14">
      <c r="A254" t="s">
        <v>233</v>
      </c>
      <c r="B254" s="1">
        <v>46052</v>
      </c>
      <c r="C254" t="s">
        <v>27</v>
      </c>
      <c r="D254" t="s">
        <v>26</v>
      </c>
      <c r="E254" t="s">
        <v>12</v>
      </c>
      <c r="F254" t="str" cm="1">
        <f t="array" ref="F254">IF(F236="Unknown",INDEX(F$2:F$292,MODE(MATCH(F$2:F$292,F$2:F$292,0))),F236)</f>
        <v>Under Investigation</v>
      </c>
      <c r="G254" t="s">
        <v>15</v>
      </c>
      <c r="H254">
        <f t="shared" si="17"/>
        <v>2026</v>
      </c>
      <c r="I254">
        <f t="shared" si="18"/>
        <v>1</v>
      </c>
      <c r="J254" t="str">
        <f t="shared" si="19"/>
        <v>January</v>
      </c>
      <c r="K254" t="str">
        <f t="shared" si="20"/>
        <v>OK</v>
      </c>
      <c r="L254" t="str">
        <f>IF(COUNTIF(A$2:A254,A254)&gt;1,"Duplicate","Unique")</f>
        <v>Unique</v>
      </c>
      <c r="M254" t="str">
        <f t="shared" si="21"/>
        <v>Ready</v>
      </c>
      <c r="N254" t="str">
        <f>clean_data!D80 &amp; " - " &amp; clean_data!C80</f>
        <v>Wadajir - Fraud</v>
      </c>
    </row>
    <row r="255" spans="1:14">
      <c r="A255" t="s">
        <v>70</v>
      </c>
      <c r="B255" s="1">
        <v>45817</v>
      </c>
      <c r="C255" t="s">
        <v>27</v>
      </c>
      <c r="D255" t="s">
        <v>21</v>
      </c>
      <c r="E255" t="s">
        <v>2</v>
      </c>
      <c r="F255" t="s">
        <v>11</v>
      </c>
      <c r="G255" t="s">
        <v>55</v>
      </c>
      <c r="H255">
        <f t="shared" si="17"/>
        <v>2025</v>
      </c>
      <c r="I255">
        <f t="shared" si="18"/>
        <v>6</v>
      </c>
      <c r="J255" t="str">
        <f t="shared" si="19"/>
        <v>June</v>
      </c>
      <c r="K255" t="str">
        <f t="shared" si="20"/>
        <v>OK</v>
      </c>
      <c r="L255" t="str">
        <f>IF(COUNTIF(A$2:A255,A255)&gt;1,"Duplicate","Unique")</f>
        <v>Unique</v>
      </c>
      <c r="M255" t="str">
        <f t="shared" si="21"/>
        <v>Ready</v>
      </c>
      <c r="N255" t="str">
        <f>clean_data!D246 &amp; " - " &amp; clean_data!C246</f>
        <v>Yaqshid - Burglary</v>
      </c>
    </row>
    <row r="256" spans="1:14">
      <c r="A256" t="s">
        <v>265</v>
      </c>
      <c r="B256" s="1">
        <v>46222</v>
      </c>
      <c r="C256" t="s">
        <v>31</v>
      </c>
      <c r="D256" t="s">
        <v>3</v>
      </c>
      <c r="E256" t="s">
        <v>2</v>
      </c>
      <c r="F256" t="s">
        <v>11</v>
      </c>
      <c r="G256" t="s">
        <v>15</v>
      </c>
      <c r="H256">
        <f t="shared" si="17"/>
        <v>2026</v>
      </c>
      <c r="I256">
        <f t="shared" si="18"/>
        <v>7</v>
      </c>
      <c r="J256" t="str">
        <f t="shared" si="19"/>
        <v>July</v>
      </c>
      <c r="K256" t="str">
        <f t="shared" si="20"/>
        <v>OK</v>
      </c>
      <c r="L256" t="str">
        <f>IF(COUNTIF(A$2:A256,A256)&gt;1,"Duplicate","Unique")</f>
        <v>Unique</v>
      </c>
      <c r="M256" t="str">
        <f t="shared" si="21"/>
        <v>Ready</v>
      </c>
      <c r="N256" t="str">
        <f>clean_data!D47 &amp; " - " &amp; clean_data!C47</f>
        <v>Wadajir - Assault</v>
      </c>
    </row>
    <row r="257" spans="1:14">
      <c r="A257" t="s">
        <v>110</v>
      </c>
      <c r="B257" s="1">
        <v>46124</v>
      </c>
      <c r="C257" t="s">
        <v>27</v>
      </c>
      <c r="D257" t="s">
        <v>3</v>
      </c>
      <c r="E257" t="s">
        <v>2</v>
      </c>
      <c r="F257" t="s">
        <v>1</v>
      </c>
      <c r="G257" t="s">
        <v>15</v>
      </c>
      <c r="H257">
        <f t="shared" si="17"/>
        <v>2026</v>
      </c>
      <c r="I257">
        <f t="shared" si="18"/>
        <v>4</v>
      </c>
      <c r="J257" t="str">
        <f t="shared" si="19"/>
        <v>April</v>
      </c>
      <c r="K257" t="str">
        <f t="shared" si="20"/>
        <v>OK</v>
      </c>
      <c r="L257" t="str">
        <f>IF(COUNTIF(A$2:A257,A257)&gt;1,"Duplicate","Unique")</f>
        <v>Unique</v>
      </c>
      <c r="M257" t="str">
        <f t="shared" si="21"/>
        <v>Ready</v>
      </c>
      <c r="N257" t="str">
        <f>clean_data!D206 &amp; " - " &amp; clean_data!C206</f>
        <v>Daynile - Fraud</v>
      </c>
    </row>
    <row r="258" spans="1:14">
      <c r="A258" t="s">
        <v>124</v>
      </c>
      <c r="B258" s="1">
        <f>IF(B2="Unknown",MEDIAN($B$2:$B$292),B2)</f>
        <v>46215</v>
      </c>
      <c r="C258" t="s">
        <v>4</v>
      </c>
      <c r="D258" t="s">
        <v>13</v>
      </c>
      <c r="E258" t="s">
        <v>2</v>
      </c>
      <c r="F258" t="s">
        <v>16</v>
      </c>
      <c r="G258" t="s">
        <v>10</v>
      </c>
      <c r="H258">
        <f t="shared" ref="H258:H293" si="22">IF(B258="","",YEAR(B258))</f>
        <v>2026</v>
      </c>
      <c r="I258">
        <f t="shared" ref="I258:I293" si="23">IF(B258="","",MONTH(B258))</f>
        <v>7</v>
      </c>
      <c r="J258" t="str">
        <f t="shared" ref="J258:J293" si="24">IF(B258="","",TEXT(B258,"mmmm"))</f>
        <v>July</v>
      </c>
      <c r="K258" t="str">
        <f t="shared" ref="K258:K293" si="25">IF(COUNTBLANK(A258:G258)+COUNTIF(A258:G258,"Unknown")+COUNTIF(A258:G258,"-")&gt;0,"Needs Review","OK")</f>
        <v>OK</v>
      </c>
      <c r="L258" t="str">
        <f>IF(COUNTIF(A$2:A258,A258)&gt;1,"Duplicate","Unique")</f>
        <v>Unique</v>
      </c>
      <c r="M258" t="str">
        <f t="shared" ref="M258:M293" si="26">IF(OR(K258="Needs Review",L258="Duplicate"),"Review","Ready")</f>
        <v>Ready</v>
      </c>
      <c r="N258" t="str">
        <f>clean_data!D193 &amp; " - " &amp; clean_data!C193</f>
        <v>Daynile - Theft</v>
      </c>
    </row>
    <row r="259" spans="1:14">
      <c r="A259" t="s">
        <v>134</v>
      </c>
      <c r="B259" s="1">
        <v>46215</v>
      </c>
      <c r="C259" t="s">
        <v>8</v>
      </c>
      <c r="D259" t="s">
        <v>3</v>
      </c>
      <c r="E259" t="s">
        <v>2</v>
      </c>
      <c r="F259" t="s">
        <v>16</v>
      </c>
      <c r="G259" t="s">
        <v>6</v>
      </c>
      <c r="H259">
        <f t="shared" si="22"/>
        <v>2026</v>
      </c>
      <c r="I259">
        <f t="shared" si="23"/>
        <v>7</v>
      </c>
      <c r="J259" t="str">
        <f t="shared" si="24"/>
        <v>July</v>
      </c>
      <c r="K259" t="str">
        <f t="shared" si="25"/>
        <v>OK</v>
      </c>
      <c r="L259" t="str">
        <f>IF(COUNTIF(A$2:A259,A259)&gt;1,"Duplicate","Unique")</f>
        <v>Unique</v>
      </c>
      <c r="M259" t="str">
        <f t="shared" si="26"/>
        <v>Ready</v>
      </c>
      <c r="N259" t="str">
        <f>clean_data!D182 &amp; " - " &amp; clean_data!C182</f>
        <v>Yaqshid - Theft</v>
      </c>
    </row>
    <row r="260" spans="1:14">
      <c r="A260" t="s">
        <v>294</v>
      </c>
      <c r="B260" s="1">
        <v>45817</v>
      </c>
      <c r="C260" t="s">
        <v>4</v>
      </c>
      <c r="D260" t="s">
        <v>21</v>
      </c>
      <c r="E260" t="s">
        <v>2</v>
      </c>
      <c r="F260" t="s">
        <v>11</v>
      </c>
      <c r="G260" t="s">
        <v>10</v>
      </c>
      <c r="H260">
        <f t="shared" si="22"/>
        <v>2025</v>
      </c>
      <c r="I260">
        <f t="shared" si="23"/>
        <v>6</v>
      </c>
      <c r="J260" t="str">
        <f t="shared" si="24"/>
        <v>June</v>
      </c>
      <c r="K260" t="str">
        <f t="shared" si="25"/>
        <v>OK</v>
      </c>
      <c r="L260" t="str">
        <f>IF(COUNTIF(A$2:A260,A260)&gt;1,"Duplicate","Unique")</f>
        <v>Unique</v>
      </c>
      <c r="M260" t="str">
        <f t="shared" si="26"/>
        <v>Ready</v>
      </c>
      <c r="N260" t="str">
        <f>clean_data!D16 &amp; " - " &amp; clean_data!C16</f>
        <v>Yaqshid - Fraud</v>
      </c>
    </row>
    <row r="261" spans="1:14">
      <c r="A261" t="s">
        <v>129</v>
      </c>
      <c r="B261" s="1">
        <v>46118</v>
      </c>
      <c r="C261" t="s">
        <v>31</v>
      </c>
      <c r="D261" t="s">
        <v>3</v>
      </c>
      <c r="E261" t="s">
        <v>2</v>
      </c>
      <c r="F261" t="s">
        <v>11</v>
      </c>
      <c r="G261" t="s">
        <v>15</v>
      </c>
      <c r="H261">
        <f t="shared" si="22"/>
        <v>2026</v>
      </c>
      <c r="I261">
        <f t="shared" si="23"/>
        <v>4</v>
      </c>
      <c r="J261" t="str">
        <f t="shared" si="24"/>
        <v>April</v>
      </c>
      <c r="K261" t="str">
        <f t="shared" si="25"/>
        <v>OK</v>
      </c>
      <c r="L261" t="str">
        <f>IF(COUNTIF(A$2:A261,A261)&gt;1,"Duplicate","Unique")</f>
        <v>Unique</v>
      </c>
      <c r="M261" t="str">
        <f t="shared" si="26"/>
        <v>Ready</v>
      </c>
      <c r="N261" t="str">
        <f>clean_data!D187 &amp; " - " &amp; clean_data!C187</f>
        <v>Hodan - Theft</v>
      </c>
    </row>
    <row r="262" spans="1:14">
      <c r="A262" t="s">
        <v>74</v>
      </c>
      <c r="B262" s="1">
        <v>46081</v>
      </c>
      <c r="C262" t="s">
        <v>8</v>
      </c>
      <c r="D262" t="s">
        <v>7</v>
      </c>
      <c r="E262" t="s">
        <v>12</v>
      </c>
      <c r="F262" t="s">
        <v>11</v>
      </c>
      <c r="G262" t="s">
        <v>6</v>
      </c>
      <c r="H262">
        <f t="shared" si="22"/>
        <v>2026</v>
      </c>
      <c r="I262">
        <f t="shared" si="23"/>
        <v>2</v>
      </c>
      <c r="J262" t="str">
        <f t="shared" si="24"/>
        <v>February</v>
      </c>
      <c r="K262" t="str">
        <f t="shared" si="25"/>
        <v>OK</v>
      </c>
      <c r="L262" t="str">
        <f>IF(COUNTIF(A$2:A262,A262)&gt;1,"Duplicate","Unique")</f>
        <v>Unique</v>
      </c>
      <c r="M262" t="str">
        <f t="shared" si="26"/>
        <v>Ready</v>
      </c>
      <c r="N262" t="str">
        <f>clean_data!D241 &amp; " - " &amp; clean_data!C241</f>
        <v>Karan - Theft</v>
      </c>
    </row>
    <row r="263" spans="1:14">
      <c r="A263" t="s">
        <v>56</v>
      </c>
      <c r="B263" s="1">
        <v>45897</v>
      </c>
      <c r="C263" t="s">
        <v>31</v>
      </c>
      <c r="D263" t="s">
        <v>7</v>
      </c>
      <c r="E263" t="s">
        <v>2</v>
      </c>
      <c r="F263" t="s">
        <v>16</v>
      </c>
      <c r="G263" t="s">
        <v>55</v>
      </c>
      <c r="H263">
        <f t="shared" si="22"/>
        <v>2025</v>
      </c>
      <c r="I263">
        <f t="shared" si="23"/>
        <v>8</v>
      </c>
      <c r="J263" t="str">
        <f t="shared" si="24"/>
        <v>August</v>
      </c>
      <c r="K263" t="str">
        <f t="shared" si="25"/>
        <v>OK</v>
      </c>
      <c r="L263" t="str">
        <f>IF(COUNTIF(A$2:A263,A263)&gt;1,"Duplicate","Unique")</f>
        <v>Unique</v>
      </c>
      <c r="M263" t="str">
        <f t="shared" si="26"/>
        <v>Ready</v>
      </c>
      <c r="N263" t="str">
        <f>clean_data!D260 &amp; " - " &amp; clean_data!C260</f>
        <v>Karan - Traffic Offense</v>
      </c>
    </row>
    <row r="264" spans="1:14">
      <c r="A264" t="s">
        <v>194</v>
      </c>
      <c r="B264" s="1">
        <v>45713</v>
      </c>
      <c r="C264" t="s">
        <v>31</v>
      </c>
      <c r="D264" t="s">
        <v>3</v>
      </c>
      <c r="E264" t="s">
        <v>30</v>
      </c>
      <c r="F264" t="s">
        <v>16</v>
      </c>
      <c r="G264" t="s">
        <v>15</v>
      </c>
      <c r="H264">
        <f t="shared" si="22"/>
        <v>2025</v>
      </c>
      <c r="I264">
        <f t="shared" si="23"/>
        <v>2</v>
      </c>
      <c r="J264" t="str">
        <f t="shared" si="24"/>
        <v>February</v>
      </c>
      <c r="K264" t="str">
        <f t="shared" si="25"/>
        <v>Needs Review</v>
      </c>
      <c r="L264" t="str">
        <f>IF(COUNTIF(A$2:A264,A264)&gt;1,"Duplicate","Unique")</f>
        <v>Unique</v>
      </c>
      <c r="M264" t="str">
        <f t="shared" si="26"/>
        <v>Review</v>
      </c>
      <c r="N264" t="str">
        <f>clean_data!D122 &amp; " - " &amp; clean_data!C122</f>
        <v>Yaqshid - Traffic Offense</v>
      </c>
    </row>
    <row r="265" spans="1:14">
      <c r="A265" t="s">
        <v>229</v>
      </c>
      <c r="B265" s="1">
        <v>45879</v>
      </c>
      <c r="C265" t="s">
        <v>31</v>
      </c>
      <c r="D265" t="s">
        <v>26</v>
      </c>
      <c r="E265" t="s">
        <v>2</v>
      </c>
      <c r="F265" t="s">
        <v>47</v>
      </c>
      <c r="G265" t="s">
        <v>15</v>
      </c>
      <c r="H265">
        <f t="shared" si="22"/>
        <v>2025</v>
      </c>
      <c r="I265">
        <f t="shared" si="23"/>
        <v>8</v>
      </c>
      <c r="J265" t="str">
        <f t="shared" si="24"/>
        <v>August</v>
      </c>
      <c r="K265" t="str">
        <f t="shared" si="25"/>
        <v>OK</v>
      </c>
      <c r="L265" t="str">
        <f>IF(COUNTIF(A$2:A265,A265)&gt;1,"Duplicate","Unique")</f>
        <v>Unique</v>
      </c>
      <c r="M265" t="str">
        <f t="shared" si="26"/>
        <v>Ready</v>
      </c>
      <c r="N265" t="str">
        <f>clean_data!D84 &amp; " - " &amp; clean_data!C84</f>
        <v>Wadajir - Fraud</v>
      </c>
    </row>
    <row r="266" spans="1:14">
      <c r="A266" t="s">
        <v>300</v>
      </c>
      <c r="B266" s="1">
        <v>45702</v>
      </c>
      <c r="C266" t="s">
        <v>31</v>
      </c>
      <c r="D266" t="s">
        <v>26</v>
      </c>
      <c r="E266" t="s">
        <v>2</v>
      </c>
      <c r="F266" t="str" cm="1">
        <f t="array" ref="F266">IF(F248="Unknown",INDEX(F$2:F$292,MODE(MATCH(F$2:F$292,F$2:F$292,0))),F248)</f>
        <v>Under Investigation</v>
      </c>
      <c r="G266" t="s">
        <v>15</v>
      </c>
      <c r="H266">
        <f t="shared" si="22"/>
        <v>2025</v>
      </c>
      <c r="I266">
        <f t="shared" si="23"/>
        <v>2</v>
      </c>
      <c r="J266" t="str">
        <f t="shared" si="24"/>
        <v>February</v>
      </c>
      <c r="K266" t="str">
        <f t="shared" si="25"/>
        <v>OK</v>
      </c>
      <c r="L266" t="str">
        <f>IF(COUNTIF(A$2:A266,A266)&gt;1,"Duplicate","Unique")</f>
        <v>Unique</v>
      </c>
      <c r="M266" t="str">
        <f t="shared" si="26"/>
        <v>Ready</v>
      </c>
      <c r="N266" t="str">
        <f>clean_data!D9 &amp; " - " &amp; clean_data!C9</f>
        <v>Daynile - Traffic Offense</v>
      </c>
    </row>
    <row r="267" spans="1:14">
      <c r="A267" t="s">
        <v>73</v>
      </c>
      <c r="B267" s="1">
        <v>45733</v>
      </c>
      <c r="C267" t="s">
        <v>36</v>
      </c>
      <c r="D267" t="s">
        <v>3</v>
      </c>
      <c r="E267" t="s">
        <v>2</v>
      </c>
      <c r="F267" t="s">
        <v>11</v>
      </c>
      <c r="G267" t="s">
        <v>6</v>
      </c>
      <c r="H267">
        <f t="shared" si="22"/>
        <v>2025</v>
      </c>
      <c r="I267">
        <f t="shared" si="23"/>
        <v>3</v>
      </c>
      <c r="J267" t="str">
        <f t="shared" si="24"/>
        <v>March</v>
      </c>
      <c r="K267" t="str">
        <f t="shared" si="25"/>
        <v>OK</v>
      </c>
      <c r="L267" t="str">
        <f>IF(COUNTIF(A$2:A267,A267)&gt;1,"Duplicate","Unique")</f>
        <v>Unique</v>
      </c>
      <c r="M267" t="str">
        <f t="shared" si="26"/>
        <v>Ready</v>
      </c>
      <c r="N267" t="str">
        <f>clean_data!D243 &amp; " - " &amp; clean_data!C243</f>
        <v>Wadajir - Robbery</v>
      </c>
    </row>
    <row r="268" spans="1:14">
      <c r="A268" t="s">
        <v>286</v>
      </c>
      <c r="B268" s="1">
        <v>45782</v>
      </c>
      <c r="C268" t="s">
        <v>27</v>
      </c>
      <c r="D268" t="s">
        <v>3</v>
      </c>
      <c r="E268" t="s">
        <v>2</v>
      </c>
      <c r="F268" t="str" cm="1">
        <f t="array" ref="F268">IF(F250="Unknown",INDEX(F$2:F$292,MODE(MATCH(F$2:F$292,F$2:F$292,0))),F250)</f>
        <v>Closed</v>
      </c>
      <c r="G268" t="s">
        <v>15</v>
      </c>
      <c r="H268">
        <f t="shared" si="22"/>
        <v>2025</v>
      </c>
      <c r="I268">
        <f t="shared" si="23"/>
        <v>5</v>
      </c>
      <c r="J268" t="str">
        <f t="shared" si="24"/>
        <v>May</v>
      </c>
      <c r="K268" t="str">
        <f t="shared" si="25"/>
        <v>OK</v>
      </c>
      <c r="L268" t="str">
        <f>IF(COUNTIF(A$2:A268,A268)&gt;1,"Duplicate","Unique")</f>
        <v>Unique</v>
      </c>
      <c r="M268" t="str">
        <f t="shared" si="26"/>
        <v>Ready</v>
      </c>
      <c r="N268" t="str">
        <f>clean_data!D24 &amp; " - " &amp; clean_data!C24</f>
        <v>Daynile - Assault</v>
      </c>
    </row>
    <row r="269" spans="1:14">
      <c r="A269" t="s">
        <v>242</v>
      </c>
      <c r="B269" s="1">
        <v>45774</v>
      </c>
      <c r="C269" t="s">
        <v>36</v>
      </c>
      <c r="D269" t="s">
        <v>3</v>
      </c>
      <c r="E269" t="s">
        <v>2</v>
      </c>
      <c r="F269" t="s">
        <v>1</v>
      </c>
      <c r="G269" t="s">
        <v>6</v>
      </c>
      <c r="H269">
        <f t="shared" si="22"/>
        <v>2025</v>
      </c>
      <c r="I269">
        <f t="shared" si="23"/>
        <v>4</v>
      </c>
      <c r="J269" t="str">
        <f t="shared" si="24"/>
        <v>April</v>
      </c>
      <c r="K269" t="str">
        <f t="shared" si="25"/>
        <v>OK</v>
      </c>
      <c r="L269" t="str">
        <f>IF(COUNTIF(A$2:A269,A269)&gt;1,"Duplicate","Unique")</f>
        <v>Unique</v>
      </c>
      <c r="M269" t="str">
        <f t="shared" si="26"/>
        <v>Ready</v>
      </c>
      <c r="N269" t="str">
        <f>clean_data!D71 &amp; " - " &amp; clean_data!C71</f>
        <v>Yaqshid - Assault</v>
      </c>
    </row>
    <row r="270" spans="1:14">
      <c r="A270" t="s">
        <v>20</v>
      </c>
      <c r="B270" s="1">
        <v>46052</v>
      </c>
      <c r="C270" t="s">
        <v>8</v>
      </c>
      <c r="D270" t="s">
        <v>13</v>
      </c>
      <c r="E270" t="s">
        <v>12</v>
      </c>
      <c r="F270" t="s">
        <v>11</v>
      </c>
      <c r="G270" t="s">
        <v>6</v>
      </c>
      <c r="H270">
        <f t="shared" si="22"/>
        <v>2026</v>
      </c>
      <c r="I270">
        <f t="shared" si="23"/>
        <v>1</v>
      </c>
      <c r="J270" t="str">
        <f t="shared" si="24"/>
        <v>January</v>
      </c>
      <c r="K270" t="str">
        <f t="shared" si="25"/>
        <v>OK</v>
      </c>
      <c r="L270" t="str">
        <f>IF(COUNTIF(A$2:A270,A270)&gt;1,"Duplicate","Unique")</f>
        <v>Unique</v>
      </c>
      <c r="M270" t="str">
        <f t="shared" si="26"/>
        <v>Ready</v>
      </c>
      <c r="N270" t="str">
        <f>clean_data!D287 &amp; " - " &amp; clean_data!C287</f>
        <v>Yaqshid - Fraud</v>
      </c>
    </row>
    <row r="271" spans="1:14">
      <c r="A271" t="s">
        <v>9</v>
      </c>
      <c r="B271" s="1">
        <v>45711</v>
      </c>
      <c r="C271" t="s">
        <v>8</v>
      </c>
      <c r="D271" t="s">
        <v>7</v>
      </c>
      <c r="E271" t="s">
        <v>2</v>
      </c>
      <c r="F271" t="s">
        <v>1</v>
      </c>
      <c r="G271" t="s">
        <v>6</v>
      </c>
      <c r="H271">
        <f t="shared" si="22"/>
        <v>2025</v>
      </c>
      <c r="I271">
        <f t="shared" si="23"/>
        <v>2</v>
      </c>
      <c r="J271" t="str">
        <f t="shared" si="24"/>
        <v>February</v>
      </c>
      <c r="K271" t="str">
        <f t="shared" si="25"/>
        <v>OK</v>
      </c>
      <c r="L271" t="str">
        <f>IF(COUNTIF(A$2:A271,A271)&gt;1,"Duplicate","Unique")</f>
        <v>Unique</v>
      </c>
      <c r="M271" t="str">
        <f t="shared" si="26"/>
        <v>Ready</v>
      </c>
      <c r="N271" t="str">
        <f>clean_data!D292 &amp; " - " &amp; clean_data!C292</f>
        <v>Wadajir - Assault</v>
      </c>
    </row>
    <row r="272" spans="1:14">
      <c r="A272" t="s">
        <v>71</v>
      </c>
      <c r="B272" s="1">
        <v>46186</v>
      </c>
      <c r="C272" t="s">
        <v>4</v>
      </c>
      <c r="D272" t="s">
        <v>13</v>
      </c>
      <c r="E272" t="s">
        <v>2</v>
      </c>
      <c r="F272" t="s">
        <v>47</v>
      </c>
      <c r="G272" t="s">
        <v>10</v>
      </c>
      <c r="H272">
        <f t="shared" si="22"/>
        <v>2026</v>
      </c>
      <c r="I272">
        <f t="shared" si="23"/>
        <v>6</v>
      </c>
      <c r="J272" t="str">
        <f t="shared" si="24"/>
        <v>June</v>
      </c>
      <c r="K272" t="str">
        <f t="shared" si="25"/>
        <v>OK</v>
      </c>
      <c r="L272" t="str">
        <f>IF(COUNTIF(A$2:A272,A272)&gt;1,"Duplicate","Unique")</f>
        <v>Unique</v>
      </c>
      <c r="M272" t="str">
        <f t="shared" si="26"/>
        <v>Ready</v>
      </c>
      <c r="N272" t="str">
        <f>clean_data!D245 &amp; " - " &amp; clean_data!C245</f>
        <v>Yaqshid - Fraud</v>
      </c>
    </row>
    <row r="273" spans="1:14">
      <c r="A273" t="s">
        <v>282</v>
      </c>
      <c r="B273" s="1">
        <v>45971</v>
      </c>
      <c r="C273" t="s">
        <v>4</v>
      </c>
      <c r="D273" t="s">
        <v>33</v>
      </c>
      <c r="E273" t="s">
        <v>2</v>
      </c>
      <c r="F273" t="s">
        <v>1</v>
      </c>
      <c r="G273" t="s">
        <v>10</v>
      </c>
      <c r="H273">
        <f t="shared" si="22"/>
        <v>2025</v>
      </c>
      <c r="I273">
        <f t="shared" si="23"/>
        <v>11</v>
      </c>
      <c r="J273" t="str">
        <f t="shared" si="24"/>
        <v>November</v>
      </c>
      <c r="K273" t="str">
        <f t="shared" si="25"/>
        <v>OK</v>
      </c>
      <c r="L273" t="str">
        <f>IF(COUNTIF(A$2:A273,A273)&gt;1,"Duplicate","Unique")</f>
        <v>Unique</v>
      </c>
      <c r="M273" t="str">
        <f t="shared" si="26"/>
        <v>Ready</v>
      </c>
      <c r="N273" t="str">
        <f>clean_data!D28 &amp; " - " &amp; clean_data!C28</f>
        <v>Yaqshid - Burglary</v>
      </c>
    </row>
    <row r="274" spans="1:14">
      <c r="A274" t="s">
        <v>76</v>
      </c>
      <c r="B274" s="1">
        <v>46084</v>
      </c>
      <c r="C274" t="s">
        <v>36</v>
      </c>
      <c r="D274" t="s">
        <v>3</v>
      </c>
      <c r="E274" t="s">
        <v>2</v>
      </c>
      <c r="F274" t="s">
        <v>16</v>
      </c>
      <c r="G274" t="s">
        <v>6</v>
      </c>
      <c r="H274">
        <f t="shared" si="22"/>
        <v>2026</v>
      </c>
      <c r="I274">
        <f t="shared" si="23"/>
        <v>3</v>
      </c>
      <c r="J274" t="str">
        <f t="shared" si="24"/>
        <v>March</v>
      </c>
      <c r="K274" t="str">
        <f t="shared" si="25"/>
        <v>OK</v>
      </c>
      <c r="L274" t="str">
        <f>IF(COUNTIF(A$2:A274,A274)&gt;1,"Duplicate","Unique")</f>
        <v>Unique</v>
      </c>
      <c r="M274" t="str">
        <f t="shared" si="26"/>
        <v>Ready</v>
      </c>
      <c r="N274" t="str">
        <f>clean_data!D239 &amp; " - " &amp; clean_data!C239</f>
        <v>Waberi - Traffic Offense</v>
      </c>
    </row>
    <row r="275" spans="1:14">
      <c r="A275" t="s">
        <v>121</v>
      </c>
      <c r="B275" s="1">
        <v>46088</v>
      </c>
      <c r="C275" t="s">
        <v>31</v>
      </c>
      <c r="D275" t="s">
        <v>26</v>
      </c>
      <c r="E275" t="s">
        <v>120</v>
      </c>
      <c r="F275" t="s">
        <v>47</v>
      </c>
      <c r="G275" t="s">
        <v>15</v>
      </c>
      <c r="H275">
        <f t="shared" si="22"/>
        <v>2026</v>
      </c>
      <c r="I275">
        <f t="shared" si="23"/>
        <v>3</v>
      </c>
      <c r="J275" t="str">
        <f t="shared" si="24"/>
        <v>March</v>
      </c>
      <c r="K275" t="str">
        <f t="shared" si="25"/>
        <v>OK</v>
      </c>
      <c r="L275" t="str">
        <f>IF(COUNTIF(A$2:A275,A275)&gt;1,"Duplicate","Unique")</f>
        <v>Unique</v>
      </c>
      <c r="M275" t="str">
        <f t="shared" si="26"/>
        <v>Ready</v>
      </c>
      <c r="N275" t="str">
        <f>clean_data!D197 &amp; " - " &amp; clean_data!C197</f>
        <v>Karan - Traffic Offense</v>
      </c>
    </row>
    <row r="276" spans="1:14">
      <c r="A276" t="s">
        <v>299</v>
      </c>
      <c r="B276" s="1">
        <v>45816</v>
      </c>
      <c r="C276" t="s">
        <v>8</v>
      </c>
      <c r="D276" t="s">
        <v>26</v>
      </c>
      <c r="E276" t="s">
        <v>2</v>
      </c>
      <c r="F276" t="s">
        <v>11</v>
      </c>
      <c r="G276" t="s">
        <v>6</v>
      </c>
      <c r="H276">
        <f t="shared" si="22"/>
        <v>2025</v>
      </c>
      <c r="I276">
        <f t="shared" si="23"/>
        <v>6</v>
      </c>
      <c r="J276" t="str">
        <f t="shared" si="24"/>
        <v>June</v>
      </c>
      <c r="K276" t="str">
        <f t="shared" si="25"/>
        <v>OK</v>
      </c>
      <c r="L276" t="str">
        <f>IF(COUNTIF(A$2:A276,A276)&gt;1,"Duplicate","Unique")</f>
        <v>Unique</v>
      </c>
      <c r="M276" t="str">
        <f t="shared" si="26"/>
        <v>Ready</v>
      </c>
      <c r="N276" t="str">
        <f>clean_data!D10 &amp; " - " &amp; clean_data!C10</f>
        <v>Wadajir - Theft</v>
      </c>
    </row>
    <row r="277" spans="1:14">
      <c r="A277" t="s">
        <v>43</v>
      </c>
      <c r="B277" s="1">
        <v>45932</v>
      </c>
      <c r="C277" t="s">
        <v>27</v>
      </c>
      <c r="D277" t="s">
        <v>13</v>
      </c>
      <c r="E277" t="s">
        <v>2</v>
      </c>
      <c r="F277" t="s">
        <v>11</v>
      </c>
      <c r="G277" t="s">
        <v>15</v>
      </c>
      <c r="H277">
        <f t="shared" si="22"/>
        <v>2025</v>
      </c>
      <c r="I277">
        <f t="shared" si="23"/>
        <v>10</v>
      </c>
      <c r="J277" t="str">
        <f t="shared" si="24"/>
        <v>October</v>
      </c>
      <c r="K277" t="str">
        <f t="shared" si="25"/>
        <v>OK</v>
      </c>
      <c r="L277" t="str">
        <f>IF(COUNTIF(A$2:A277,A277)&gt;1,"Duplicate","Unique")</f>
        <v>Unique</v>
      </c>
      <c r="M277" t="str">
        <f t="shared" si="26"/>
        <v>Ready</v>
      </c>
      <c r="N277" t="str">
        <f>clean_data!D271 &amp; " - " &amp; clean_data!C271</f>
        <v>Wadajir - Robbery</v>
      </c>
    </row>
    <row r="278" spans="1:14">
      <c r="A278" t="s">
        <v>58</v>
      </c>
      <c r="B278" s="1">
        <v>45782</v>
      </c>
      <c r="C278" t="s">
        <v>8</v>
      </c>
      <c r="D278" t="s">
        <v>13</v>
      </c>
      <c r="E278" t="s">
        <v>2</v>
      </c>
      <c r="F278" t="s">
        <v>11</v>
      </c>
      <c r="G278" t="s">
        <v>6</v>
      </c>
      <c r="H278">
        <f t="shared" si="22"/>
        <v>2025</v>
      </c>
      <c r="I278">
        <f t="shared" si="23"/>
        <v>5</v>
      </c>
      <c r="J278" t="str">
        <f t="shared" si="24"/>
        <v>May</v>
      </c>
      <c r="K278" t="str">
        <f t="shared" si="25"/>
        <v>OK</v>
      </c>
      <c r="L278" t="str">
        <f>IF(COUNTIF(A$2:A278,A278)&gt;1,"Duplicate","Unique")</f>
        <v>Unique</v>
      </c>
      <c r="M278" t="str">
        <f t="shared" si="26"/>
        <v>Ready</v>
      </c>
      <c r="N278" t="str">
        <f>clean_data!D258 &amp; " - " &amp; clean_data!C258</f>
        <v>Waberi - Traffic Offense</v>
      </c>
    </row>
    <row r="279" spans="1:14">
      <c r="A279" t="s">
        <v>62</v>
      </c>
      <c r="B279" s="1">
        <v>45858</v>
      </c>
      <c r="C279" t="s">
        <v>31</v>
      </c>
      <c r="D279" t="s">
        <v>26</v>
      </c>
      <c r="E279" t="s">
        <v>2</v>
      </c>
      <c r="F279" t="s">
        <v>16</v>
      </c>
      <c r="G279" t="s">
        <v>15</v>
      </c>
      <c r="H279">
        <f t="shared" si="22"/>
        <v>2025</v>
      </c>
      <c r="I279">
        <f t="shared" si="23"/>
        <v>7</v>
      </c>
      <c r="J279" t="str">
        <f t="shared" si="24"/>
        <v>July</v>
      </c>
      <c r="K279" t="str">
        <f t="shared" si="25"/>
        <v>OK</v>
      </c>
      <c r="L279" t="str">
        <f>IF(COUNTIF(A$2:A279,A279)&gt;1,"Duplicate","Unique")</f>
        <v>Unique</v>
      </c>
      <c r="M279" t="str">
        <f t="shared" si="26"/>
        <v>Ready</v>
      </c>
      <c r="N279" t="str">
        <f>clean_data!D254 &amp; " - " &amp; clean_data!C254</f>
        <v>Yaqshid - Theft</v>
      </c>
    </row>
    <row r="280" spans="1:14">
      <c r="A280" t="s">
        <v>135</v>
      </c>
      <c r="B280" s="1">
        <v>46203</v>
      </c>
      <c r="C280" t="s">
        <v>36</v>
      </c>
      <c r="D280" t="s">
        <v>26</v>
      </c>
      <c r="E280" t="s">
        <v>315</v>
      </c>
      <c r="F280" t="s">
        <v>1</v>
      </c>
      <c r="G280" t="s">
        <v>6</v>
      </c>
      <c r="H280">
        <f t="shared" si="22"/>
        <v>2026</v>
      </c>
      <c r="I280">
        <f t="shared" si="23"/>
        <v>6</v>
      </c>
      <c r="J280" t="str">
        <f t="shared" si="24"/>
        <v>June</v>
      </c>
      <c r="K280" t="str">
        <f t="shared" si="25"/>
        <v>Needs Review</v>
      </c>
      <c r="L280" t="str">
        <f>IF(COUNTIF(A$2:A280,A280)&gt;1,"Duplicate","Unique")</f>
        <v>Unique</v>
      </c>
      <c r="M280" t="str">
        <f t="shared" si="26"/>
        <v>Review</v>
      </c>
      <c r="N280" t="str">
        <f>clean_data!D181 &amp; " - " &amp; clean_data!C181</f>
        <v>Wadajir - Robbery</v>
      </c>
    </row>
    <row r="281" spans="1:14">
      <c r="A281" t="s">
        <v>177</v>
      </c>
      <c r="B281" s="1">
        <v>45901</v>
      </c>
      <c r="C281" t="s">
        <v>27</v>
      </c>
      <c r="D281" t="s">
        <v>33</v>
      </c>
      <c r="E281" t="s">
        <v>12</v>
      </c>
      <c r="F281" t="s">
        <v>47</v>
      </c>
      <c r="G281" t="s">
        <v>15</v>
      </c>
      <c r="H281">
        <f t="shared" si="22"/>
        <v>2025</v>
      </c>
      <c r="I281">
        <f t="shared" si="23"/>
        <v>9</v>
      </c>
      <c r="J281" t="str">
        <f t="shared" si="24"/>
        <v>September</v>
      </c>
      <c r="K281" t="str">
        <f t="shared" si="25"/>
        <v>OK</v>
      </c>
      <c r="L281" t="str">
        <f>IF(COUNTIF(A$2:A281,A281)&gt;1,"Duplicate","Unique")</f>
        <v>Unique</v>
      </c>
      <c r="M281" t="str">
        <f t="shared" si="26"/>
        <v>Ready</v>
      </c>
      <c r="N281" t="str">
        <f>clean_data!D109 &amp; " - " &amp; clean_data!C109</f>
        <v>Hodan - Traffic Offense</v>
      </c>
    </row>
    <row r="282" spans="1:14">
      <c r="A282" t="s">
        <v>148</v>
      </c>
      <c r="B282" s="1">
        <v>45872</v>
      </c>
      <c r="C282" t="s">
        <v>31</v>
      </c>
      <c r="D282" t="s">
        <v>33</v>
      </c>
      <c r="E282" t="s">
        <v>12</v>
      </c>
      <c r="F282" t="str" cm="1">
        <f t="array" ref="F282">IF(F264="Unknown",INDEX(F$2:F$292,MODE(MATCH(F$2:F$292,F$2:F$292,0))),F264)</f>
        <v>Open</v>
      </c>
      <c r="G282" t="s">
        <v>15</v>
      </c>
      <c r="H282">
        <f t="shared" si="22"/>
        <v>2025</v>
      </c>
      <c r="I282">
        <f t="shared" si="23"/>
        <v>8</v>
      </c>
      <c r="J282" t="str">
        <f t="shared" si="24"/>
        <v>August</v>
      </c>
      <c r="K282" t="str">
        <f t="shared" si="25"/>
        <v>OK</v>
      </c>
      <c r="L282" t="str">
        <f>IF(COUNTIF(A$2:A282,A282)&gt;1,"Duplicate","Unique")</f>
        <v>Unique</v>
      </c>
      <c r="M282" t="str">
        <f t="shared" si="26"/>
        <v>Ready</v>
      </c>
      <c r="N282" t="str">
        <f>clean_data!D170 &amp; " - " &amp; clean_data!C170</f>
        <v>Yaqshid - Fraud</v>
      </c>
    </row>
    <row r="283" spans="1:14">
      <c r="A283" t="s">
        <v>170</v>
      </c>
      <c r="B283" s="1">
        <v>46231</v>
      </c>
      <c r="C283" t="s">
        <v>8</v>
      </c>
      <c r="D283" t="s">
        <v>13</v>
      </c>
      <c r="E283" t="s">
        <v>30</v>
      </c>
      <c r="F283" t="s">
        <v>16</v>
      </c>
      <c r="G283" t="s">
        <v>6</v>
      </c>
      <c r="H283">
        <f t="shared" si="22"/>
        <v>2026</v>
      </c>
      <c r="I283">
        <f t="shared" si="23"/>
        <v>7</v>
      </c>
      <c r="J283" t="str">
        <f t="shared" si="24"/>
        <v>July</v>
      </c>
      <c r="K283" t="str">
        <f t="shared" si="25"/>
        <v>Needs Review</v>
      </c>
      <c r="L283" t="str">
        <f>IF(COUNTIF(A$2:A283,A283)&gt;1,"Duplicate","Unique")</f>
        <v>Unique</v>
      </c>
      <c r="M283" t="str">
        <f t="shared" si="26"/>
        <v>Review</v>
      </c>
      <c r="N283" t="str">
        <f>clean_data!D148 &amp; " - " &amp; clean_data!C148</f>
        <v>Wadajir - Assault</v>
      </c>
    </row>
    <row r="284" spans="1:14">
      <c r="A284" t="s">
        <v>266</v>
      </c>
      <c r="B284" s="1">
        <v>45967</v>
      </c>
      <c r="C284" t="s">
        <v>36</v>
      </c>
      <c r="D284" t="s">
        <v>3</v>
      </c>
      <c r="E284" t="s">
        <v>2</v>
      </c>
      <c r="F284" t="s">
        <v>11</v>
      </c>
      <c r="G284" t="s">
        <v>6</v>
      </c>
      <c r="H284">
        <f t="shared" si="22"/>
        <v>2025</v>
      </c>
      <c r="I284">
        <f t="shared" si="23"/>
        <v>11</v>
      </c>
      <c r="J284" t="str">
        <f t="shared" si="24"/>
        <v>November</v>
      </c>
      <c r="K284" t="str">
        <f t="shared" si="25"/>
        <v>OK</v>
      </c>
      <c r="L284" t="str">
        <f>IF(COUNTIF(A$2:A284,A284)&gt;1,"Duplicate","Unique")</f>
        <v>Unique</v>
      </c>
      <c r="M284" t="str">
        <f t="shared" si="26"/>
        <v>Ready</v>
      </c>
      <c r="N284" t="str">
        <f>clean_data!D45 &amp; " - " &amp; clean_data!C45</f>
        <v>Hodan - Burglary</v>
      </c>
    </row>
    <row r="285" spans="1:14">
      <c r="A285" t="s">
        <v>39</v>
      </c>
      <c r="B285" s="1">
        <v>46228</v>
      </c>
      <c r="C285" t="s">
        <v>31</v>
      </c>
      <c r="D285" t="str">
        <f>IF(D269="Unknown","Hodan",D269)</f>
        <v>Hodan</v>
      </c>
      <c r="E285" t="s">
        <v>12</v>
      </c>
      <c r="F285" t="s">
        <v>16</v>
      </c>
      <c r="G285" t="s">
        <v>15</v>
      </c>
      <c r="H285">
        <f t="shared" si="22"/>
        <v>2026</v>
      </c>
      <c r="I285">
        <f t="shared" si="23"/>
        <v>7</v>
      </c>
      <c r="J285" t="str">
        <f t="shared" si="24"/>
        <v>July</v>
      </c>
      <c r="K285" t="str">
        <f t="shared" si="25"/>
        <v>OK</v>
      </c>
      <c r="L285" t="str">
        <f>IF(COUNTIF(A$2:A285,A285)&gt;1,"Duplicate","Unique")</f>
        <v>Unique</v>
      </c>
      <c r="M285" t="str">
        <f t="shared" si="26"/>
        <v>Ready</v>
      </c>
      <c r="N285" t="str">
        <f>clean_data!D276 &amp; " - " &amp; clean_data!C276</f>
        <v>Yaqshid - Robbery</v>
      </c>
    </row>
    <row r="286" spans="1:14">
      <c r="A286" t="s">
        <v>213</v>
      </c>
      <c r="B286" s="1">
        <v>45754</v>
      </c>
      <c r="C286" t="s">
        <v>27</v>
      </c>
      <c r="D286" t="s">
        <v>3</v>
      </c>
      <c r="E286" t="s">
        <v>315</v>
      </c>
      <c r="F286" t="s">
        <v>11</v>
      </c>
      <c r="G286" t="s">
        <v>15</v>
      </c>
      <c r="H286">
        <f t="shared" si="22"/>
        <v>2025</v>
      </c>
      <c r="I286">
        <f t="shared" si="23"/>
        <v>4</v>
      </c>
      <c r="J286" t="str">
        <f t="shared" si="24"/>
        <v>April</v>
      </c>
      <c r="K286" t="str">
        <f t="shared" si="25"/>
        <v>Needs Review</v>
      </c>
      <c r="L286" t="str">
        <f>IF(COUNTIF(A$2:A286,A286)&gt;1,"Duplicate","Unique")</f>
        <v>Unique</v>
      </c>
      <c r="M286" t="str">
        <f t="shared" si="26"/>
        <v>Review</v>
      </c>
      <c r="N286" t="str">
        <f>clean_data!D100 &amp; " - " &amp; clean_data!C100</f>
        <v>Hodan - Theft</v>
      </c>
    </row>
    <row r="287" spans="1:14">
      <c r="A287" t="s">
        <v>29</v>
      </c>
      <c r="B287" s="1">
        <v>45856</v>
      </c>
      <c r="C287" t="str" cm="1">
        <f t="array" ref="C287">IF(C265="Unknown",INDEX(C$2:C$292,MODE(MATCH(C$2:C$292,C$2:C$292,0))),C265)</f>
        <v>Fraud</v>
      </c>
      <c r="D287" t="s">
        <v>26</v>
      </c>
      <c r="E287" t="s">
        <v>12</v>
      </c>
      <c r="F287" t="s">
        <v>1</v>
      </c>
      <c r="G287" t="s">
        <v>15</v>
      </c>
      <c r="H287">
        <f t="shared" si="22"/>
        <v>2025</v>
      </c>
      <c r="I287">
        <f t="shared" si="23"/>
        <v>7</v>
      </c>
      <c r="J287" t="str">
        <f t="shared" si="24"/>
        <v>July</v>
      </c>
      <c r="K287" t="str">
        <f t="shared" si="25"/>
        <v>OK</v>
      </c>
      <c r="L287" t="str">
        <f>IF(COUNTIF(A$2:A287,A287)&gt;1,"Duplicate","Unique")</f>
        <v>Unique</v>
      </c>
      <c r="M287" t="str">
        <f t="shared" si="26"/>
        <v>Ready</v>
      </c>
      <c r="N287" t="str">
        <f>clean_data!D282 &amp; " - " &amp; clean_data!C282</f>
        <v>Daynile - Fraud</v>
      </c>
    </row>
    <row r="288" spans="1:14">
      <c r="A288" t="s">
        <v>225</v>
      </c>
      <c r="B288" s="1">
        <v>45988</v>
      </c>
      <c r="C288" t="s">
        <v>27</v>
      </c>
      <c r="D288" t="s">
        <v>13</v>
      </c>
      <c r="E288" t="s">
        <v>12</v>
      </c>
      <c r="F288" t="s">
        <v>16</v>
      </c>
      <c r="G288" t="s">
        <v>15</v>
      </c>
      <c r="H288">
        <f t="shared" si="22"/>
        <v>2025</v>
      </c>
      <c r="I288">
        <f t="shared" si="23"/>
        <v>11</v>
      </c>
      <c r="J288" t="str">
        <f t="shared" si="24"/>
        <v>November</v>
      </c>
      <c r="K288" t="str">
        <f t="shared" si="25"/>
        <v>OK</v>
      </c>
      <c r="L288" t="str">
        <f>IF(COUNTIF(A$2:A288,A288)&gt;1,"Duplicate","Unique")</f>
        <v>Unique</v>
      </c>
      <c r="M288" t="str">
        <f t="shared" si="26"/>
        <v>Ready</v>
      </c>
      <c r="N288" t="str">
        <f>clean_data!D88 &amp; " - " &amp; clean_data!C88</f>
        <v>Yaqshid - Fraud</v>
      </c>
    </row>
    <row r="289" spans="1:14">
      <c r="A289" t="s">
        <v>126</v>
      </c>
      <c r="B289" s="1">
        <v>45926</v>
      </c>
      <c r="C289" t="s">
        <v>36</v>
      </c>
      <c r="D289" t="s">
        <v>3</v>
      </c>
      <c r="E289" t="s">
        <v>2</v>
      </c>
      <c r="F289" t="s">
        <v>16</v>
      </c>
      <c r="G289" t="s">
        <v>6</v>
      </c>
      <c r="H289">
        <f t="shared" si="22"/>
        <v>2025</v>
      </c>
      <c r="I289">
        <f t="shared" si="23"/>
        <v>9</v>
      </c>
      <c r="J289" t="str">
        <f t="shared" si="24"/>
        <v>September</v>
      </c>
      <c r="K289" t="str">
        <f t="shared" si="25"/>
        <v>OK</v>
      </c>
      <c r="L289" t="str">
        <f>IF(COUNTIF(A$2:A289,A289)&gt;1,"Duplicate","Unique")</f>
        <v>Unique</v>
      </c>
      <c r="M289" t="str">
        <f t="shared" si="26"/>
        <v>Ready</v>
      </c>
      <c r="N289" t="str">
        <f>clean_data!D191 &amp; " - " &amp; clean_data!C191</f>
        <v>Hodan - Robbery</v>
      </c>
    </row>
    <row r="290" spans="1:14">
      <c r="A290" t="s">
        <v>256</v>
      </c>
      <c r="B290" s="1">
        <v>46210</v>
      </c>
      <c r="C290" t="s">
        <v>27</v>
      </c>
      <c r="D290" t="s">
        <v>21</v>
      </c>
      <c r="E290" t="s">
        <v>2</v>
      </c>
      <c r="F290" t="s">
        <v>16</v>
      </c>
      <c r="G290" t="s">
        <v>15</v>
      </c>
      <c r="H290">
        <f t="shared" si="22"/>
        <v>2026</v>
      </c>
      <c r="I290">
        <f t="shared" si="23"/>
        <v>7</v>
      </c>
      <c r="J290" t="str">
        <f t="shared" si="24"/>
        <v>July</v>
      </c>
      <c r="K290" t="str">
        <f t="shared" si="25"/>
        <v>OK</v>
      </c>
      <c r="L290" t="str">
        <f>IF(COUNTIF(A$2:A290,A290)&gt;1,"Duplicate","Unique")</f>
        <v>Unique</v>
      </c>
      <c r="M290" t="str">
        <f t="shared" si="26"/>
        <v>Ready</v>
      </c>
      <c r="N290" t="str">
        <f>clean_data!D56 &amp; " - " &amp; clean_data!C56</f>
        <v>Hodan - Fraud</v>
      </c>
    </row>
    <row r="291" spans="1:14">
      <c r="A291" t="s">
        <v>193</v>
      </c>
      <c r="B291" s="1">
        <v>45797</v>
      </c>
      <c r="C291" t="s">
        <v>22</v>
      </c>
      <c r="D291" t="s">
        <v>13</v>
      </c>
      <c r="E291" t="s">
        <v>2</v>
      </c>
      <c r="F291" t="s">
        <v>16</v>
      </c>
      <c r="G291" t="s">
        <v>15</v>
      </c>
      <c r="H291">
        <f t="shared" si="22"/>
        <v>2025</v>
      </c>
      <c r="I291">
        <f t="shared" si="23"/>
        <v>5</v>
      </c>
      <c r="J291" t="str">
        <f t="shared" si="24"/>
        <v>May</v>
      </c>
      <c r="K291" t="str">
        <f t="shared" si="25"/>
        <v>OK</v>
      </c>
      <c r="L291" t="str">
        <f>IF(COUNTIF(A$2:A291,A291)&gt;1,"Duplicate","Unique")</f>
        <v>Unique</v>
      </c>
      <c r="M291" t="str">
        <f t="shared" si="26"/>
        <v>Ready</v>
      </c>
      <c r="N291" t="str">
        <f>clean_data!D123 &amp; " - " &amp; clean_data!C123</f>
        <v>Hodan - Traffic Offense</v>
      </c>
    </row>
    <row r="292" spans="1:14">
      <c r="A292" t="s">
        <v>245</v>
      </c>
      <c r="B292" s="1">
        <v>45932</v>
      </c>
      <c r="C292" t="s">
        <v>36</v>
      </c>
      <c r="D292" t="s">
        <v>7</v>
      </c>
      <c r="E292" t="s">
        <v>12</v>
      </c>
      <c r="F292" t="str" cm="1">
        <f t="array" ref="F292">IF(F274="Unknown",INDEX(F$2:F$292,MODE(MATCH(F$2:F$292,F$2:F$292,0))),F274)</f>
        <v>Open</v>
      </c>
      <c r="G292" t="s">
        <v>6</v>
      </c>
      <c r="H292">
        <f t="shared" si="22"/>
        <v>2025</v>
      </c>
      <c r="I292">
        <f t="shared" si="23"/>
        <v>10</v>
      </c>
      <c r="J292" t="str">
        <f t="shared" si="24"/>
        <v>October</v>
      </c>
      <c r="K292" t="str">
        <f t="shared" si="25"/>
        <v>OK</v>
      </c>
      <c r="L292" t="str">
        <f>IF(COUNTIF(A$2:A292,A292)&gt;1,"Duplicate","Unique")</f>
        <v>Unique</v>
      </c>
      <c r="M292" t="str">
        <f t="shared" si="26"/>
        <v>Ready</v>
      </c>
      <c r="N292" t="str">
        <f>clean_data!D68 &amp; " - " &amp; clean_data!C68</f>
        <v>Wadajir - Theft</v>
      </c>
    </row>
    <row r="293" spans="1:14">
      <c r="A293" t="s">
        <v>240</v>
      </c>
      <c r="B293" s="1">
        <v>45848</v>
      </c>
      <c r="C293" t="s">
        <v>31</v>
      </c>
      <c r="D293" t="s">
        <v>3</v>
      </c>
      <c r="E293" t="s">
        <v>2</v>
      </c>
      <c r="F293" t="s">
        <v>11</v>
      </c>
      <c r="G293" t="s">
        <v>15</v>
      </c>
      <c r="H293">
        <f t="shared" si="22"/>
        <v>2025</v>
      </c>
      <c r="I293">
        <f t="shared" si="23"/>
        <v>7</v>
      </c>
      <c r="J293" t="str">
        <f t="shared" si="24"/>
        <v>July</v>
      </c>
      <c r="K293" t="str">
        <f t="shared" si="25"/>
        <v>OK</v>
      </c>
      <c r="L293" t="str">
        <f>IF(COUNTIF(A$2:A293,A293)&gt;1,"Duplicate","Unique")</f>
        <v>Unique</v>
      </c>
      <c r="M293" t="str">
        <f t="shared" si="26"/>
        <v>Ready</v>
      </c>
      <c r="N293" t="str">
        <f>clean_data!D74 &amp; " - " &amp; clean_data!C74</f>
        <v>Hodan - Theft</v>
      </c>
    </row>
  </sheetData>
  <phoneticPr fontId="6" type="noConversion"/>
  <pageMargins left="0.7" right="0.7" top="0.75" bottom="0.75" header="0.3" footer="0.3"/>
  <pageSetup orientation="portrait" horizontalDpi="0"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9D165-F3EE-4B49-8EDC-FAC008DCA113}">
  <dimension ref="A1:A22"/>
  <sheetViews>
    <sheetView topLeftCell="A13" zoomScale="94" workbookViewId="0">
      <selection activeCell="A12" sqref="A12"/>
    </sheetView>
  </sheetViews>
  <sheetFormatPr defaultRowHeight="14.5"/>
  <cols>
    <col min="1" max="1" width="146" customWidth="1"/>
  </cols>
  <sheetData>
    <row r="1" spans="1:1" ht="23.5">
      <c r="A1" s="40" t="s">
        <v>406</v>
      </c>
    </row>
    <row r="2" spans="1:1">
      <c r="A2" s="7"/>
    </row>
    <row r="3" spans="1:1" ht="15.5">
      <c r="A3" s="15"/>
    </row>
    <row r="5" spans="1:1" ht="21">
      <c r="A5" s="38" t="s">
        <v>408</v>
      </c>
    </row>
    <row r="6" spans="1:1" ht="21">
      <c r="A6" s="38" t="s">
        <v>409</v>
      </c>
    </row>
    <row r="7" spans="1:1" ht="21">
      <c r="A7" s="38" t="s">
        <v>402</v>
      </c>
    </row>
    <row r="8" spans="1:1" ht="21">
      <c r="A8" s="38" t="s">
        <v>403</v>
      </c>
    </row>
    <row r="9" spans="1:1" ht="21">
      <c r="A9" s="38" t="s">
        <v>404</v>
      </c>
    </row>
    <row r="10" spans="1:1" ht="21">
      <c r="A10" s="38" t="s">
        <v>405</v>
      </c>
    </row>
    <row r="11" spans="1:1" ht="21">
      <c r="A11" s="38" t="s">
        <v>412</v>
      </c>
    </row>
    <row r="12" spans="1:1" ht="21">
      <c r="A12" s="39"/>
    </row>
    <row r="15" spans="1:1" ht="28.5">
      <c r="A15" s="41" t="s">
        <v>341</v>
      </c>
    </row>
    <row r="16" spans="1:1">
      <c r="A16" s="35"/>
    </row>
    <row r="17" spans="1:1" ht="23.5">
      <c r="A17" s="36" t="s">
        <v>397</v>
      </c>
    </row>
    <row r="18" spans="1:1" ht="23.5">
      <c r="A18" s="36" t="s">
        <v>398</v>
      </c>
    </row>
    <row r="19" spans="1:1" ht="23.5">
      <c r="A19" s="36" t="s">
        <v>399</v>
      </c>
    </row>
    <row r="20" spans="1:1" ht="23.5">
      <c r="A20" s="36" t="s">
        <v>400</v>
      </c>
    </row>
    <row r="21" spans="1:1" ht="23.5">
      <c r="A21" s="36" t="s">
        <v>401</v>
      </c>
    </row>
    <row r="22" spans="1:1" ht="23.5">
      <c r="A22" s="3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3499D-B727-42D4-93DC-D1504D83D904}">
  <dimension ref="A1:AC126"/>
  <sheetViews>
    <sheetView topLeftCell="Q30" zoomScale="69" zoomScaleNormal="86" workbookViewId="0">
      <selection activeCell="B87" sqref="B87:G87"/>
    </sheetView>
  </sheetViews>
  <sheetFormatPr defaultRowHeight="14.5"/>
  <cols>
    <col min="1" max="1" width="14.453125" bestFit="1" customWidth="1"/>
    <col min="2" max="2" width="16.26953125" bestFit="1" customWidth="1"/>
    <col min="3" max="3" width="7.6328125" bestFit="1" customWidth="1"/>
    <col min="4" max="4" width="5.6328125" bestFit="1" customWidth="1"/>
    <col min="5" max="5" width="7.7265625" bestFit="1" customWidth="1"/>
    <col min="6" max="6" width="5.1796875" bestFit="1" customWidth="1"/>
    <col min="7" max="7" width="45" customWidth="1"/>
    <col min="8" max="8" width="10.36328125" bestFit="1" customWidth="1"/>
    <col min="13" max="13" width="13.26953125" bestFit="1" customWidth="1"/>
    <col min="14" max="14" width="16.26953125" bestFit="1" customWidth="1"/>
    <col min="15" max="15" width="17.6328125" bestFit="1" customWidth="1"/>
    <col min="16" max="16" width="7.81640625" bestFit="1" customWidth="1"/>
    <col min="17" max="17" width="5.7265625" bestFit="1" customWidth="1"/>
    <col min="18" max="18" width="7.7265625" bestFit="1" customWidth="1"/>
    <col min="19" max="19" width="5.1796875" bestFit="1" customWidth="1"/>
    <col min="20" max="20" width="13.453125" bestFit="1" customWidth="1"/>
    <col min="21" max="21" width="10.36328125" bestFit="1" customWidth="1"/>
    <col min="22" max="22" width="16.54296875" bestFit="1" customWidth="1"/>
    <col min="23" max="23" width="16.7265625" bestFit="1" customWidth="1"/>
    <col min="24" max="24" width="10.36328125" bestFit="1" customWidth="1"/>
    <col min="25" max="25" width="5.6328125" bestFit="1" customWidth="1"/>
    <col min="26" max="26" width="7.90625" bestFit="1" customWidth="1"/>
    <col min="27" max="27" width="5.26953125" bestFit="1" customWidth="1"/>
    <col min="28" max="28" width="13.36328125" bestFit="1" customWidth="1"/>
    <col min="29" max="29" width="10.36328125" bestFit="1" customWidth="1"/>
  </cols>
  <sheetData>
    <row r="1" spans="1:18" ht="14.5" customHeight="1">
      <c r="A1" s="58"/>
      <c r="B1" s="58"/>
      <c r="C1" s="58"/>
      <c r="D1" s="58"/>
      <c r="E1" s="58"/>
      <c r="F1" s="58"/>
      <c r="G1" s="58"/>
      <c r="H1" s="58"/>
      <c r="I1" s="58"/>
      <c r="J1" s="58"/>
      <c r="K1" s="58"/>
      <c r="L1" s="58"/>
      <c r="M1" s="58"/>
      <c r="N1" s="58"/>
      <c r="O1" s="58"/>
      <c r="P1" s="58"/>
    </row>
    <row r="2" spans="1:18">
      <c r="A2" s="10"/>
      <c r="B2" s="10"/>
      <c r="C2" s="10"/>
      <c r="D2" s="10"/>
      <c r="E2" s="10"/>
      <c r="F2" s="10"/>
      <c r="G2" s="10"/>
      <c r="H2" s="10"/>
      <c r="I2" s="10"/>
      <c r="J2" s="10"/>
      <c r="K2" s="10"/>
      <c r="L2" s="10"/>
      <c r="M2" s="10"/>
      <c r="N2" s="10"/>
      <c r="O2" s="10"/>
      <c r="P2" s="10"/>
    </row>
    <row r="6" spans="1:18" ht="15">
      <c r="B6" s="59" t="s">
        <v>361</v>
      </c>
      <c r="C6" s="53"/>
      <c r="D6" s="53"/>
      <c r="F6" s="11"/>
      <c r="G6" s="11" t="s">
        <v>362</v>
      </c>
      <c r="H6" s="12"/>
      <c r="J6" s="11"/>
      <c r="K6" s="11" t="s">
        <v>363</v>
      </c>
      <c r="L6" s="12"/>
      <c r="N6" s="11"/>
      <c r="O6" s="14" t="s">
        <v>360</v>
      </c>
      <c r="P6" s="12"/>
    </row>
    <row r="7" spans="1:18">
      <c r="B7" s="13"/>
      <c r="C7" s="13"/>
      <c r="D7" s="13">
        <f>COUNTA(clean_data!A2:A293)</f>
        <v>292</v>
      </c>
      <c r="F7" s="13"/>
      <c r="G7" s="13"/>
      <c r="H7" s="13">
        <f>COUNTIF(clean_data!F2:F293, "Closed")</f>
        <v>123</v>
      </c>
      <c r="J7" s="13"/>
      <c r="K7" s="13"/>
      <c r="L7" s="13">
        <f>COUNTIF(clean_data!G2:G293, "High")</f>
        <v>106</v>
      </c>
      <c r="N7" s="13"/>
      <c r="O7" s="13"/>
      <c r="P7" s="13">
        <f>COUNTIF(clean_data!F2:F293,"Open")+COUNTIF(clean_data!F2:F293,"Under Investigation")</f>
        <v>144</v>
      </c>
    </row>
    <row r="10" spans="1:18" ht="22.5">
      <c r="B10" s="60" t="s">
        <v>364</v>
      </c>
      <c r="C10" s="53"/>
      <c r="D10" s="53"/>
      <c r="E10" s="53"/>
      <c r="F10" s="53"/>
      <c r="G10" s="53"/>
      <c r="O10" s="57" t="s">
        <v>367</v>
      </c>
      <c r="P10" s="53"/>
      <c r="Q10" s="53"/>
      <c r="R10" s="53"/>
    </row>
    <row r="12" spans="1:18">
      <c r="A12" s="13" t="s">
        <v>322</v>
      </c>
      <c r="B12" s="13" t="s">
        <v>325</v>
      </c>
      <c r="N12" s="3" t="s">
        <v>322</v>
      </c>
      <c r="O12" s="13" t="s">
        <v>365</v>
      </c>
    </row>
    <row r="13" spans="1:18">
      <c r="A13" s="4" t="s">
        <v>3</v>
      </c>
      <c r="B13">
        <v>25</v>
      </c>
      <c r="N13" s="4" t="s">
        <v>1</v>
      </c>
      <c r="O13">
        <v>123</v>
      </c>
    </row>
    <row r="14" spans="1:18">
      <c r="A14" s="4" t="s">
        <v>7</v>
      </c>
      <c r="B14">
        <v>10</v>
      </c>
      <c r="N14" s="4" t="s">
        <v>16</v>
      </c>
      <c r="O14">
        <v>68</v>
      </c>
    </row>
    <row r="15" spans="1:18">
      <c r="A15" s="4" t="s">
        <v>33</v>
      </c>
      <c r="B15">
        <v>9</v>
      </c>
      <c r="N15" s="4" t="s">
        <v>47</v>
      </c>
      <c r="O15">
        <v>25</v>
      </c>
    </row>
    <row r="16" spans="1:18">
      <c r="A16" s="4" t="s">
        <v>21</v>
      </c>
      <c r="B16">
        <v>6</v>
      </c>
      <c r="N16" s="4" t="s">
        <v>11</v>
      </c>
      <c r="O16">
        <v>77</v>
      </c>
    </row>
    <row r="17" spans="1:15">
      <c r="A17" s="4" t="s">
        <v>26</v>
      </c>
      <c r="B17">
        <v>5</v>
      </c>
      <c r="N17" s="4" t="s">
        <v>323</v>
      </c>
      <c r="O17">
        <v>293</v>
      </c>
    </row>
    <row r="18" spans="1:15">
      <c r="A18" s="4" t="s">
        <v>13</v>
      </c>
      <c r="B18">
        <v>5</v>
      </c>
    </row>
    <row r="19" spans="1:15">
      <c r="A19" s="4" t="s">
        <v>323</v>
      </c>
      <c r="B19">
        <v>60</v>
      </c>
    </row>
    <row r="37" spans="1:19" ht="27.5">
      <c r="B37" s="54" t="s">
        <v>407</v>
      </c>
      <c r="C37" s="59"/>
      <c r="D37" s="59"/>
      <c r="E37" s="59"/>
    </row>
    <row r="40" spans="1:19" ht="25">
      <c r="O40" s="55" t="s">
        <v>366</v>
      </c>
      <c r="P40" s="53"/>
      <c r="Q40" s="53"/>
      <c r="R40" s="53"/>
      <c r="S40" s="53"/>
    </row>
    <row r="43" spans="1:19">
      <c r="A43" s="3" t="s">
        <v>322</v>
      </c>
      <c r="B43" t="s">
        <v>339</v>
      </c>
      <c r="N43" s="3" t="s">
        <v>322</v>
      </c>
      <c r="O43" t="s">
        <v>324</v>
      </c>
    </row>
    <row r="44" spans="1:19">
      <c r="A44" s="4" t="s">
        <v>6</v>
      </c>
      <c r="B44">
        <v>107</v>
      </c>
      <c r="N44" s="4" t="s">
        <v>36</v>
      </c>
      <c r="O44">
        <v>60</v>
      </c>
    </row>
    <row r="45" spans="1:19">
      <c r="A45" s="4" t="s">
        <v>10</v>
      </c>
      <c r="B45">
        <v>30</v>
      </c>
      <c r="N45" s="4" t="s">
        <v>22</v>
      </c>
      <c r="O45">
        <v>18</v>
      </c>
    </row>
    <row r="46" spans="1:19">
      <c r="A46" s="4" t="s">
        <v>15</v>
      </c>
      <c r="B46">
        <v>156</v>
      </c>
      <c r="N46" s="4" t="s">
        <v>31</v>
      </c>
      <c r="O46">
        <v>57</v>
      </c>
    </row>
    <row r="47" spans="1:19">
      <c r="A47" s="4" t="s">
        <v>323</v>
      </c>
      <c r="B47">
        <v>293</v>
      </c>
      <c r="N47" s="4" t="s">
        <v>8</v>
      </c>
      <c r="O47">
        <v>44</v>
      </c>
    </row>
    <row r="48" spans="1:19">
      <c r="N48" s="4" t="s">
        <v>27</v>
      </c>
      <c r="O48">
        <v>85</v>
      </c>
    </row>
    <row r="49" spans="2:21">
      <c r="N49" s="4" t="s">
        <v>4</v>
      </c>
      <c r="O49">
        <v>29</v>
      </c>
    </row>
    <row r="50" spans="2:21">
      <c r="N50" s="4" t="s">
        <v>323</v>
      </c>
      <c r="O50">
        <v>293</v>
      </c>
    </row>
    <row r="62" spans="2:21" ht="27.5">
      <c r="B62" s="55" t="s">
        <v>410</v>
      </c>
      <c r="C62" s="53"/>
      <c r="D62" s="53"/>
      <c r="E62" s="53"/>
      <c r="F62" s="53"/>
      <c r="G62" s="53"/>
      <c r="P62" s="54" t="s">
        <v>415</v>
      </c>
      <c r="Q62" s="53"/>
      <c r="R62" s="53"/>
      <c r="S62" s="53"/>
      <c r="T62" s="53"/>
      <c r="U62" s="53"/>
    </row>
    <row r="65" spans="1:21">
      <c r="N65" s="3" t="s">
        <v>325</v>
      </c>
      <c r="O65" s="3" t="s">
        <v>326</v>
      </c>
    </row>
    <row r="66" spans="1:21">
      <c r="A66" s="3" t="s">
        <v>322</v>
      </c>
      <c r="B66" t="s">
        <v>357</v>
      </c>
      <c r="N66" s="3" t="s">
        <v>322</v>
      </c>
      <c r="O66" t="s">
        <v>36</v>
      </c>
      <c r="P66" t="s">
        <v>22</v>
      </c>
      <c r="Q66" t="s">
        <v>31</v>
      </c>
      <c r="R66" t="s">
        <v>8</v>
      </c>
      <c r="S66" t="s">
        <v>27</v>
      </c>
      <c r="T66" t="s">
        <v>4</v>
      </c>
      <c r="U66" t="s">
        <v>323</v>
      </c>
    </row>
    <row r="67" spans="1:21">
      <c r="A67" s="4" t="s">
        <v>327</v>
      </c>
      <c r="B67">
        <v>27</v>
      </c>
      <c r="N67" s="4">
        <v>2025</v>
      </c>
      <c r="O67">
        <v>33</v>
      </c>
      <c r="P67">
        <v>15</v>
      </c>
      <c r="Q67">
        <v>33</v>
      </c>
      <c r="R67">
        <v>25</v>
      </c>
      <c r="S67">
        <v>46</v>
      </c>
      <c r="T67">
        <v>17</v>
      </c>
      <c r="U67">
        <v>169</v>
      </c>
    </row>
    <row r="68" spans="1:21">
      <c r="A68" s="4" t="s">
        <v>328</v>
      </c>
      <c r="B68">
        <v>34</v>
      </c>
      <c r="N68" s="4" t="s">
        <v>323</v>
      </c>
      <c r="O68">
        <v>33</v>
      </c>
      <c r="P68">
        <v>15</v>
      </c>
      <c r="Q68">
        <v>33</v>
      </c>
      <c r="R68">
        <v>25</v>
      </c>
      <c r="S68">
        <v>46</v>
      </c>
      <c r="T68">
        <v>17</v>
      </c>
      <c r="U68">
        <v>169</v>
      </c>
    </row>
    <row r="69" spans="1:21">
      <c r="A69" s="4" t="s">
        <v>329</v>
      </c>
      <c r="B69">
        <v>21</v>
      </c>
    </row>
    <row r="70" spans="1:21">
      <c r="A70" s="4" t="s">
        <v>330</v>
      </c>
      <c r="B70">
        <v>28</v>
      </c>
    </row>
    <row r="71" spans="1:21">
      <c r="A71" s="4" t="s">
        <v>331</v>
      </c>
      <c r="B71">
        <v>30</v>
      </c>
    </row>
    <row r="72" spans="1:21">
      <c r="A72" s="4" t="s">
        <v>333</v>
      </c>
      <c r="B72">
        <v>56</v>
      </c>
    </row>
    <row r="73" spans="1:21">
      <c r="A73" s="4" t="s">
        <v>334</v>
      </c>
      <c r="B73">
        <v>16</v>
      </c>
    </row>
    <row r="74" spans="1:21">
      <c r="A74" s="4" t="s">
        <v>335</v>
      </c>
      <c r="B74">
        <v>17</v>
      </c>
    </row>
    <row r="75" spans="1:21">
      <c r="A75" s="4" t="s">
        <v>336</v>
      </c>
      <c r="B75">
        <v>13</v>
      </c>
    </row>
    <row r="76" spans="1:21">
      <c r="A76" s="4" t="s">
        <v>337</v>
      </c>
      <c r="B76">
        <v>13</v>
      </c>
    </row>
    <row r="77" spans="1:21">
      <c r="A77" s="4" t="s">
        <v>338</v>
      </c>
      <c r="B77">
        <v>13</v>
      </c>
    </row>
    <row r="78" spans="1:21">
      <c r="A78" s="4"/>
      <c r="B78">
        <v>1</v>
      </c>
    </row>
    <row r="79" spans="1:21">
      <c r="A79" s="4" t="s">
        <v>323</v>
      </c>
      <c r="B79">
        <v>269</v>
      </c>
    </row>
    <row r="85" spans="1:29">
      <c r="AC85" s="46"/>
    </row>
    <row r="87" spans="1:29" ht="26">
      <c r="B87" s="56" t="s">
        <v>417</v>
      </c>
      <c r="C87" s="53"/>
      <c r="D87" s="53"/>
      <c r="E87" s="53"/>
      <c r="F87" s="53"/>
      <c r="G87" s="53"/>
      <c r="V87" s="55" t="s">
        <v>416</v>
      </c>
      <c r="W87" s="53"/>
      <c r="X87" s="53"/>
      <c r="Y87" s="53"/>
      <c r="Z87" s="53"/>
      <c r="AA87" s="53"/>
      <c r="AB87" s="53"/>
    </row>
    <row r="89" spans="1:29">
      <c r="A89" s="3" t="s">
        <v>393</v>
      </c>
      <c r="B89" s="3" t="s">
        <v>326</v>
      </c>
      <c r="V89" s="3" t="s">
        <v>311</v>
      </c>
      <c r="W89" t="s">
        <v>414</v>
      </c>
    </row>
    <row r="90" spans="1:29">
      <c r="A90" s="3" t="s">
        <v>322</v>
      </c>
      <c r="B90" t="s">
        <v>36</v>
      </c>
      <c r="C90" t="s">
        <v>22</v>
      </c>
      <c r="D90" t="s">
        <v>31</v>
      </c>
      <c r="E90" t="s">
        <v>8</v>
      </c>
      <c r="F90" t="s">
        <v>27</v>
      </c>
      <c r="G90" t="s">
        <v>4</v>
      </c>
      <c r="H90" t="s">
        <v>323</v>
      </c>
    </row>
    <row r="91" spans="1:29">
      <c r="A91" s="4" t="s">
        <v>12</v>
      </c>
      <c r="B91">
        <v>17</v>
      </c>
      <c r="C91">
        <v>7</v>
      </c>
      <c r="D91">
        <v>21</v>
      </c>
      <c r="E91">
        <v>14</v>
      </c>
      <c r="F91">
        <v>22</v>
      </c>
      <c r="G91">
        <v>9</v>
      </c>
      <c r="H91">
        <v>90</v>
      </c>
      <c r="V91" s="3" t="s">
        <v>325</v>
      </c>
      <c r="W91" s="3" t="s">
        <v>326</v>
      </c>
    </row>
    <row r="92" spans="1:29">
      <c r="A92" s="4" t="s">
        <v>2</v>
      </c>
      <c r="B92">
        <v>36</v>
      </c>
      <c r="C92">
        <v>9</v>
      </c>
      <c r="D92">
        <v>26</v>
      </c>
      <c r="E92">
        <v>24</v>
      </c>
      <c r="F92">
        <v>49</v>
      </c>
      <c r="G92">
        <v>16</v>
      </c>
      <c r="H92">
        <v>160</v>
      </c>
      <c r="V92" s="3" t="s">
        <v>322</v>
      </c>
      <c r="W92" t="s">
        <v>36</v>
      </c>
      <c r="X92" t="s">
        <v>323</v>
      </c>
    </row>
    <row r="93" spans="1:29">
      <c r="A93" s="4" t="s">
        <v>30</v>
      </c>
      <c r="B93">
        <v>7</v>
      </c>
      <c r="C93">
        <v>2</v>
      </c>
      <c r="D93">
        <v>10</v>
      </c>
      <c r="E93">
        <v>6</v>
      </c>
      <c r="F93">
        <v>14</v>
      </c>
      <c r="G93">
        <v>4</v>
      </c>
      <c r="H93">
        <v>43</v>
      </c>
      <c r="V93" s="4" t="s">
        <v>12</v>
      </c>
      <c r="W93">
        <v>17</v>
      </c>
      <c r="X93">
        <v>17</v>
      </c>
    </row>
    <row r="94" spans="1:29">
      <c r="A94" s="4" t="s">
        <v>323</v>
      </c>
      <c r="B94">
        <v>60</v>
      </c>
      <c r="C94">
        <v>18</v>
      </c>
      <c r="D94">
        <v>57</v>
      </c>
      <c r="E94">
        <v>44</v>
      </c>
      <c r="F94">
        <v>85</v>
      </c>
      <c r="G94">
        <v>29</v>
      </c>
      <c r="H94">
        <v>293</v>
      </c>
      <c r="V94" s="4" t="s">
        <v>2</v>
      </c>
      <c r="W94">
        <v>36</v>
      </c>
      <c r="X94">
        <v>36</v>
      </c>
    </row>
    <row r="95" spans="1:29">
      <c r="V95" s="4" t="s">
        <v>30</v>
      </c>
      <c r="W95">
        <v>7</v>
      </c>
      <c r="X95">
        <v>7</v>
      </c>
    </row>
    <row r="96" spans="1:29">
      <c r="V96" s="4" t="s">
        <v>323</v>
      </c>
      <c r="W96">
        <v>60</v>
      </c>
      <c r="X96">
        <v>60</v>
      </c>
    </row>
    <row r="116" spans="1:19" ht="21">
      <c r="B116" s="52" t="s">
        <v>413</v>
      </c>
      <c r="C116" s="53"/>
      <c r="D116" s="53"/>
      <c r="E116" s="53"/>
    </row>
    <row r="118" spans="1:19">
      <c r="A118" s="3" t="s">
        <v>325</v>
      </c>
      <c r="B118" s="3" t="s">
        <v>326</v>
      </c>
      <c r="R118" s="49" t="s">
        <v>322</v>
      </c>
      <c r="S118" s="13" t="s">
        <v>325</v>
      </c>
    </row>
    <row r="119" spans="1:19">
      <c r="A119" s="3" t="s">
        <v>322</v>
      </c>
      <c r="B119" t="s">
        <v>36</v>
      </c>
      <c r="C119" t="s">
        <v>22</v>
      </c>
      <c r="D119" t="s">
        <v>31</v>
      </c>
      <c r="E119" t="s">
        <v>8</v>
      </c>
      <c r="F119" t="s">
        <v>27</v>
      </c>
      <c r="G119" t="s">
        <v>4</v>
      </c>
      <c r="H119" t="s">
        <v>323</v>
      </c>
      <c r="R119" s="5" t="s">
        <v>12</v>
      </c>
      <c r="S119" s="6">
        <v>89</v>
      </c>
    </row>
    <row r="120" spans="1:19">
      <c r="A120" s="4" t="s">
        <v>33</v>
      </c>
      <c r="B120">
        <v>9</v>
      </c>
      <c r="D120">
        <v>9</v>
      </c>
      <c r="E120">
        <v>7</v>
      </c>
      <c r="F120">
        <v>8</v>
      </c>
      <c r="G120">
        <v>5</v>
      </c>
      <c r="H120">
        <v>38</v>
      </c>
      <c r="R120" s="5" t="s">
        <v>2</v>
      </c>
      <c r="S120" s="6">
        <v>160</v>
      </c>
    </row>
    <row r="121" spans="1:19">
      <c r="A121" s="4" t="s">
        <v>3</v>
      </c>
      <c r="B121">
        <v>25</v>
      </c>
      <c r="C121">
        <v>4</v>
      </c>
      <c r="D121">
        <v>15</v>
      </c>
      <c r="E121">
        <v>9</v>
      </c>
      <c r="F121">
        <v>24</v>
      </c>
      <c r="G121">
        <v>7</v>
      </c>
      <c r="H121">
        <v>84</v>
      </c>
      <c r="R121" s="5" t="s">
        <v>30</v>
      </c>
      <c r="S121" s="6">
        <v>43</v>
      </c>
    </row>
    <row r="122" spans="1:19">
      <c r="A122" s="4" t="s">
        <v>21</v>
      </c>
      <c r="B122">
        <v>6</v>
      </c>
      <c r="C122">
        <v>3</v>
      </c>
      <c r="D122">
        <v>3</v>
      </c>
      <c r="E122">
        <v>6</v>
      </c>
      <c r="F122">
        <v>10</v>
      </c>
      <c r="G122">
        <v>4</v>
      </c>
      <c r="H122">
        <v>32</v>
      </c>
      <c r="R122" s="47" t="s">
        <v>323</v>
      </c>
      <c r="S122" s="13">
        <v>292</v>
      </c>
    </row>
    <row r="123" spans="1:19">
      <c r="A123" s="4" t="s">
        <v>13</v>
      </c>
      <c r="B123">
        <v>5</v>
      </c>
      <c r="C123">
        <v>2</v>
      </c>
      <c r="D123">
        <v>3</v>
      </c>
      <c r="E123">
        <v>7</v>
      </c>
      <c r="F123">
        <v>10</v>
      </c>
      <c r="G123">
        <v>5</v>
      </c>
      <c r="H123">
        <v>32</v>
      </c>
    </row>
    <row r="124" spans="1:19">
      <c r="A124" s="4" t="s">
        <v>7</v>
      </c>
      <c r="B124">
        <v>10</v>
      </c>
      <c r="C124">
        <v>5</v>
      </c>
      <c r="D124">
        <v>12</v>
      </c>
      <c r="E124">
        <v>9</v>
      </c>
      <c r="F124">
        <v>21</v>
      </c>
      <c r="G124">
        <v>5</v>
      </c>
      <c r="H124">
        <v>62</v>
      </c>
    </row>
    <row r="125" spans="1:19">
      <c r="A125" s="4" t="s">
        <v>26</v>
      </c>
      <c r="B125">
        <v>5</v>
      </c>
      <c r="C125">
        <v>4</v>
      </c>
      <c r="D125">
        <v>15</v>
      </c>
      <c r="E125">
        <v>6</v>
      </c>
      <c r="F125">
        <v>12</v>
      </c>
      <c r="G125">
        <v>2</v>
      </c>
      <c r="H125">
        <v>44</v>
      </c>
    </row>
    <row r="126" spans="1:19">
      <c r="A126" s="4" t="s">
        <v>323</v>
      </c>
      <c r="B126">
        <v>60</v>
      </c>
      <c r="C126">
        <v>18</v>
      </c>
      <c r="D126">
        <v>57</v>
      </c>
      <c r="E126">
        <v>44</v>
      </c>
      <c r="F126">
        <v>85</v>
      </c>
      <c r="G126">
        <v>28</v>
      </c>
      <c r="H126">
        <v>292</v>
      </c>
    </row>
  </sheetData>
  <mergeCells count="11">
    <mergeCell ref="O40:S40"/>
    <mergeCell ref="O10:R10"/>
    <mergeCell ref="A1:P1"/>
    <mergeCell ref="B6:D6"/>
    <mergeCell ref="B10:G10"/>
    <mergeCell ref="B37:E37"/>
    <mergeCell ref="B116:E116"/>
    <mergeCell ref="P62:U62"/>
    <mergeCell ref="V87:AB87"/>
    <mergeCell ref="B87:G87"/>
    <mergeCell ref="B62:G62"/>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2DB90-C466-44BB-A702-29AA5F993A1B}">
  <dimension ref="A1:S301"/>
  <sheetViews>
    <sheetView topLeftCell="D1" workbookViewId="0">
      <selection activeCell="L14" sqref="L14"/>
    </sheetView>
  </sheetViews>
  <sheetFormatPr defaultRowHeight="14.5"/>
  <cols>
    <col min="2" max="2" width="21" customWidth="1"/>
    <col min="4" max="4" width="20.81640625" customWidth="1"/>
    <col min="5" max="5" width="8.7265625" customWidth="1"/>
    <col min="12" max="12" width="27.26953125" customWidth="1"/>
    <col min="13" max="13" width="17.08984375" customWidth="1"/>
    <col min="17" max="17" width="14.08984375" customWidth="1"/>
    <col min="18" max="18" width="15.54296875" customWidth="1"/>
    <col min="19" max="19" width="14.08984375" customWidth="1"/>
    <col min="20" max="20" width="13" customWidth="1"/>
    <col min="21" max="21" width="12.08984375" customWidth="1"/>
    <col min="22" max="22" width="8.7265625" customWidth="1"/>
    <col min="23" max="23" width="13" customWidth="1"/>
    <col min="26" max="26" width="13.08984375" customWidth="1"/>
  </cols>
  <sheetData>
    <row r="1" spans="1:19">
      <c r="A1" s="2" t="s">
        <v>314</v>
      </c>
      <c r="B1" s="2" t="s">
        <v>313</v>
      </c>
      <c r="C1" s="2" t="s">
        <v>312</v>
      </c>
      <c r="D1" s="2" t="s">
        <v>311</v>
      </c>
      <c r="E1" s="2" t="s">
        <v>310</v>
      </c>
      <c r="F1" s="2" t="s">
        <v>309</v>
      </c>
      <c r="G1" s="2" t="s">
        <v>308</v>
      </c>
      <c r="L1" s="50" t="s">
        <v>411</v>
      </c>
      <c r="M1" s="51"/>
    </row>
    <row r="2" spans="1:19">
      <c r="A2" t="s">
        <v>307</v>
      </c>
      <c r="B2" s="1">
        <v>45849</v>
      </c>
      <c r="C2" t="s">
        <v>27</v>
      </c>
      <c r="D2" t="s">
        <v>21</v>
      </c>
      <c r="E2" t="s">
        <v>2</v>
      </c>
      <c r="F2" t="s">
        <v>1</v>
      </c>
      <c r="L2" s="34" t="s">
        <v>394</v>
      </c>
      <c r="M2" s="33">
        <f>COUNTBLANK(A2:A293)+COUNTIF(A2:A293,"Unknown")+COUNTIF(A2:A293,"N/A")+COUNTIF(A2:A293,"NULL")</f>
        <v>15</v>
      </c>
    </row>
    <row r="3" spans="1:19">
      <c r="A3" t="s">
        <v>306</v>
      </c>
      <c r="B3" s="1">
        <v>45714</v>
      </c>
      <c r="C3" t="s">
        <v>22</v>
      </c>
      <c r="E3" t="s">
        <v>2</v>
      </c>
      <c r="F3" t="s">
        <v>1</v>
      </c>
      <c r="G3" t="s">
        <v>15</v>
      </c>
      <c r="L3" s="34" t="s">
        <v>313</v>
      </c>
      <c r="M3" s="33">
        <f>COUNTBLANK(B2:B293)+COUNTIF(B2:B293,"Unknown")+COUNTIF(B2:B293,"N/A")+COUNTIF(B2:B293,"NULL")</f>
        <v>17</v>
      </c>
    </row>
    <row r="4" spans="1:19">
      <c r="A4" t="s">
        <v>305</v>
      </c>
      <c r="B4" s="1">
        <v>46168</v>
      </c>
      <c r="C4" t="s">
        <v>27</v>
      </c>
      <c r="D4" t="s">
        <v>7</v>
      </c>
      <c r="E4" t="s">
        <v>12</v>
      </c>
      <c r="G4" t="s">
        <v>15</v>
      </c>
      <c r="L4" s="34" t="s">
        <v>312</v>
      </c>
      <c r="M4" s="33">
        <f>COUNTBLANK(C2:C293)+COUNTIF(C2:C293,"Unknown")+COUNTIF(C2:C293,"N/A")+COUNTIF(C2:C293,"NULL")</f>
        <v>15</v>
      </c>
    </row>
    <row r="5" spans="1:19">
      <c r="A5" t="s">
        <v>304</v>
      </c>
      <c r="B5" s="1">
        <v>45705</v>
      </c>
      <c r="C5" t="s">
        <v>36</v>
      </c>
      <c r="D5" t="s">
        <v>7</v>
      </c>
      <c r="E5" t="s">
        <v>2</v>
      </c>
      <c r="F5" t="s">
        <v>16</v>
      </c>
      <c r="G5" t="s">
        <v>6</v>
      </c>
      <c r="L5" s="34" t="s">
        <v>311</v>
      </c>
      <c r="M5" s="33">
        <f>COUNTBLANK(D2:D293)+COUNTIF(D2:D293,"Unknown")+COUNTIF(D2:D293,"N/A")+COUNTIF(D2:D293,"NULL")</f>
        <v>16</v>
      </c>
      <c r="R5" s="22"/>
      <c r="S5" s="22"/>
    </row>
    <row r="6" spans="1:19">
      <c r="A6" t="s">
        <v>303</v>
      </c>
      <c r="B6" s="1">
        <v>46080</v>
      </c>
      <c r="C6" t="s">
        <v>36</v>
      </c>
      <c r="D6" t="s">
        <v>3</v>
      </c>
      <c r="E6" t="s">
        <v>12</v>
      </c>
      <c r="F6" t="s">
        <v>11</v>
      </c>
      <c r="G6" t="s">
        <v>6</v>
      </c>
      <c r="L6" s="34" t="s">
        <v>395</v>
      </c>
      <c r="M6" s="33">
        <f>COUNTBLANK(E2:E293)+COUNTIF(E2:E293,"Unknown")+COUNTIF(E2:E293,"N/A")+COUNTIF(E2:E293,"NULL")</f>
        <v>45</v>
      </c>
      <c r="R6" s="22"/>
    </row>
    <row r="7" spans="1:19">
      <c r="A7" t="s">
        <v>302</v>
      </c>
      <c r="B7" s="1">
        <v>45705</v>
      </c>
      <c r="C7" t="s">
        <v>31</v>
      </c>
      <c r="D7" t="s">
        <v>7</v>
      </c>
      <c r="E7" t="s">
        <v>2</v>
      </c>
      <c r="F7" t="s">
        <v>11</v>
      </c>
      <c r="G7" t="s">
        <v>15</v>
      </c>
      <c r="L7" s="34" t="s">
        <v>309</v>
      </c>
      <c r="M7" s="33">
        <f>COUNTBLANK(F2:F293)+COUNTIF(F2:F293,"Unknown")+COUNTIF(F2:F293,"N/A")+COUNTIF(F2:F293,"NULL")</f>
        <v>16</v>
      </c>
      <c r="R7" s="22"/>
      <c r="S7" s="22"/>
    </row>
    <row r="8" spans="1:19">
      <c r="A8" t="s">
        <v>301</v>
      </c>
      <c r="B8" s="1">
        <v>46098</v>
      </c>
      <c r="C8" t="s">
        <v>27</v>
      </c>
      <c r="D8" t="s">
        <v>26</v>
      </c>
      <c r="E8" t="s">
        <v>12</v>
      </c>
      <c r="F8" t="s">
        <v>11</v>
      </c>
      <c r="G8" t="s">
        <v>15</v>
      </c>
      <c r="L8" s="34" t="s">
        <v>308</v>
      </c>
      <c r="M8" s="33">
        <f>COUNTBLANK(G2:G293)+COUNTIF(G2:G293,"Unknown")+COUNTIF(G2:G293,"N/A")+COUNTIF(G2:G293,"NULL")</f>
        <v>18</v>
      </c>
      <c r="R8" s="22"/>
      <c r="S8" s="22"/>
    </row>
    <row r="9" spans="1:19" ht="15">
      <c r="A9" t="s">
        <v>300</v>
      </c>
      <c r="B9" s="1">
        <v>45702</v>
      </c>
      <c r="C9" t="s">
        <v>31</v>
      </c>
      <c r="D9" t="s">
        <v>26</v>
      </c>
      <c r="E9" t="s">
        <v>2</v>
      </c>
      <c r="G9" t="s">
        <v>15</v>
      </c>
      <c r="L9" s="42" t="s">
        <v>396</v>
      </c>
      <c r="M9" s="33">
        <f>SUM(M2:M8)</f>
        <v>142</v>
      </c>
      <c r="R9" s="22"/>
      <c r="S9" s="22"/>
    </row>
    <row r="10" spans="1:19">
      <c r="A10" t="s">
        <v>299</v>
      </c>
      <c r="B10" s="1">
        <v>45816</v>
      </c>
      <c r="C10" t="s">
        <v>8</v>
      </c>
      <c r="D10" t="s">
        <v>26</v>
      </c>
      <c r="E10" t="s">
        <v>2</v>
      </c>
      <c r="F10" t="s">
        <v>11</v>
      </c>
      <c r="G10" t="s">
        <v>6</v>
      </c>
      <c r="R10" s="22"/>
      <c r="S10" s="22"/>
    </row>
    <row r="11" spans="1:19">
      <c r="A11" t="s">
        <v>298</v>
      </c>
      <c r="B11" s="1">
        <v>45755</v>
      </c>
      <c r="C11" t="s">
        <v>31</v>
      </c>
      <c r="D11" t="s">
        <v>33</v>
      </c>
      <c r="E11" t="s">
        <v>2</v>
      </c>
      <c r="F11" t="s">
        <v>11</v>
      </c>
      <c r="G11" t="s">
        <v>15</v>
      </c>
      <c r="S11" s="22"/>
    </row>
    <row r="12" spans="1:19">
      <c r="A12" t="s">
        <v>297</v>
      </c>
      <c r="B12" s="1">
        <v>46118</v>
      </c>
      <c r="C12" t="s">
        <v>27</v>
      </c>
      <c r="D12" t="s">
        <v>3</v>
      </c>
      <c r="E12" t="s">
        <v>30</v>
      </c>
      <c r="F12" t="s">
        <v>11</v>
      </c>
      <c r="G12" t="s">
        <v>15</v>
      </c>
      <c r="R12" s="25"/>
    </row>
    <row r="13" spans="1:19">
      <c r="B13" s="1">
        <v>46215</v>
      </c>
      <c r="C13" t="s">
        <v>36</v>
      </c>
      <c r="D13" t="s">
        <v>13</v>
      </c>
      <c r="E13" t="s">
        <v>2</v>
      </c>
      <c r="F13" t="s">
        <v>16</v>
      </c>
      <c r="G13" t="s">
        <v>6</v>
      </c>
      <c r="R13" s="22"/>
      <c r="S13" s="22"/>
    </row>
    <row r="14" spans="1:19">
      <c r="A14" t="s">
        <v>296</v>
      </c>
      <c r="B14" s="1">
        <v>46003</v>
      </c>
      <c r="C14" t="s">
        <v>27</v>
      </c>
      <c r="D14" t="s">
        <v>3</v>
      </c>
      <c r="E14" t="s">
        <v>12</v>
      </c>
      <c r="F14" t="s">
        <v>11</v>
      </c>
      <c r="G14" t="s">
        <v>15</v>
      </c>
      <c r="R14" s="22"/>
      <c r="S14" s="22"/>
    </row>
    <row r="15" spans="1:19">
      <c r="A15" t="s">
        <v>295</v>
      </c>
      <c r="B15" s="1">
        <v>46178</v>
      </c>
      <c r="C15" t="s">
        <v>27</v>
      </c>
      <c r="D15" t="s">
        <v>33</v>
      </c>
      <c r="E15" t="s">
        <v>2</v>
      </c>
      <c r="F15" t="s">
        <v>16</v>
      </c>
      <c r="G15" t="s">
        <v>15</v>
      </c>
      <c r="R15" s="22"/>
      <c r="S15" s="22"/>
    </row>
    <row r="16" spans="1:19">
      <c r="A16" t="s">
        <v>294</v>
      </c>
      <c r="B16" s="1">
        <v>45817</v>
      </c>
      <c r="C16" t="s">
        <v>4</v>
      </c>
      <c r="D16" t="s">
        <v>21</v>
      </c>
      <c r="E16" t="s">
        <v>2</v>
      </c>
      <c r="F16" t="s">
        <v>11</v>
      </c>
      <c r="G16" t="s">
        <v>10</v>
      </c>
      <c r="R16" s="22"/>
      <c r="S16" s="22"/>
    </row>
    <row r="17" spans="1:19">
      <c r="A17" t="s">
        <v>293</v>
      </c>
      <c r="B17" s="1">
        <v>45755</v>
      </c>
      <c r="D17" t="s">
        <v>33</v>
      </c>
      <c r="E17" t="s">
        <v>12</v>
      </c>
      <c r="F17" t="s">
        <v>1</v>
      </c>
      <c r="G17" t="s">
        <v>6</v>
      </c>
      <c r="R17" s="22"/>
      <c r="S17" s="22"/>
    </row>
    <row r="18" spans="1:19">
      <c r="A18" t="s">
        <v>292</v>
      </c>
      <c r="B18" s="1">
        <v>45974</v>
      </c>
      <c r="C18" t="s">
        <v>4</v>
      </c>
      <c r="D18" t="s">
        <v>26</v>
      </c>
      <c r="E18" t="s">
        <v>12</v>
      </c>
      <c r="F18" t="s">
        <v>11</v>
      </c>
      <c r="G18" t="s">
        <v>10</v>
      </c>
      <c r="R18" s="22"/>
      <c r="S18" s="22"/>
    </row>
    <row r="19" spans="1:19">
      <c r="A19" t="s">
        <v>291</v>
      </c>
      <c r="B19" s="1">
        <v>46042</v>
      </c>
      <c r="C19" t="s">
        <v>36</v>
      </c>
      <c r="D19" t="s">
        <v>7</v>
      </c>
      <c r="E19" t="s">
        <v>12</v>
      </c>
      <c r="F19" t="s">
        <v>1</v>
      </c>
    </row>
    <row r="20" spans="1:19">
      <c r="A20" t="s">
        <v>290</v>
      </c>
      <c r="B20" s="1">
        <v>45712</v>
      </c>
      <c r="C20" t="s">
        <v>27</v>
      </c>
      <c r="E20" t="s">
        <v>2</v>
      </c>
      <c r="F20" t="s">
        <v>47</v>
      </c>
      <c r="G20" t="s">
        <v>15</v>
      </c>
      <c r="M20" t="e" vm="1">
        <f>_xleta.SUM</f>
        <v>#VALUE!</v>
      </c>
      <c r="R20" s="25"/>
    </row>
    <row r="21" spans="1:19">
      <c r="A21" t="s">
        <v>289</v>
      </c>
      <c r="B21" s="1">
        <v>45919</v>
      </c>
      <c r="C21" t="s">
        <v>36</v>
      </c>
      <c r="D21" t="s">
        <v>7</v>
      </c>
      <c r="E21" t="s">
        <v>2</v>
      </c>
      <c r="F21" t="s">
        <v>11</v>
      </c>
      <c r="G21" t="s">
        <v>6</v>
      </c>
      <c r="R21" s="22"/>
      <c r="S21" s="22"/>
    </row>
    <row r="22" spans="1:19">
      <c r="A22" t="s">
        <v>288</v>
      </c>
      <c r="B22" s="1">
        <v>46068</v>
      </c>
      <c r="C22" t="s">
        <v>8</v>
      </c>
      <c r="D22" t="s">
        <v>3</v>
      </c>
      <c r="E22" t="s">
        <v>12</v>
      </c>
      <c r="F22" t="s">
        <v>1</v>
      </c>
      <c r="G22" t="s">
        <v>6</v>
      </c>
      <c r="R22" s="22"/>
      <c r="S22" s="22"/>
    </row>
    <row r="23" spans="1:19">
      <c r="A23" t="s">
        <v>287</v>
      </c>
      <c r="B23" s="1" t="s">
        <v>220</v>
      </c>
      <c r="C23" t="s">
        <v>36</v>
      </c>
      <c r="D23" t="s">
        <v>7</v>
      </c>
      <c r="E23" t="s">
        <v>2</v>
      </c>
      <c r="F23" t="s">
        <v>16</v>
      </c>
      <c r="G23" t="s">
        <v>6</v>
      </c>
      <c r="R23" s="22"/>
      <c r="S23" s="22"/>
    </row>
    <row r="24" spans="1:19">
      <c r="A24" t="s">
        <v>286</v>
      </c>
      <c r="B24" s="1">
        <v>45782</v>
      </c>
      <c r="C24" t="s">
        <v>27</v>
      </c>
      <c r="D24" t="s">
        <v>3</v>
      </c>
      <c r="E24" t="s">
        <v>2</v>
      </c>
      <c r="G24" t="s">
        <v>15</v>
      </c>
    </row>
    <row r="25" spans="1:19">
      <c r="A25" t="s">
        <v>285</v>
      </c>
      <c r="B25" s="1">
        <v>46167</v>
      </c>
      <c r="D25" t="s">
        <v>21</v>
      </c>
      <c r="E25" t="s">
        <v>2</v>
      </c>
      <c r="F25" t="s">
        <v>1</v>
      </c>
      <c r="G25" t="s">
        <v>6</v>
      </c>
      <c r="R25" s="25"/>
    </row>
    <row r="26" spans="1:19">
      <c r="A26" t="s">
        <v>284</v>
      </c>
      <c r="B26" s="1">
        <v>45885</v>
      </c>
      <c r="D26" t="s">
        <v>21</v>
      </c>
      <c r="E26" t="s">
        <v>2</v>
      </c>
      <c r="F26" t="s">
        <v>16</v>
      </c>
      <c r="G26" t="s">
        <v>15</v>
      </c>
      <c r="R26" s="22"/>
      <c r="S26" s="22"/>
    </row>
    <row r="27" spans="1:19">
      <c r="A27" t="s">
        <v>283</v>
      </c>
      <c r="B27" s="1" t="s">
        <v>147</v>
      </c>
      <c r="C27" t="s">
        <v>8</v>
      </c>
      <c r="D27" t="s">
        <v>33</v>
      </c>
      <c r="E27" t="s">
        <v>2</v>
      </c>
      <c r="F27" t="s">
        <v>1</v>
      </c>
      <c r="G27" t="s">
        <v>6</v>
      </c>
      <c r="R27" s="22"/>
      <c r="S27" s="22"/>
    </row>
    <row r="28" spans="1:19">
      <c r="A28" t="s">
        <v>282</v>
      </c>
      <c r="B28" s="1">
        <v>45971</v>
      </c>
      <c r="C28" t="s">
        <v>4</v>
      </c>
      <c r="D28" t="s">
        <v>33</v>
      </c>
      <c r="E28" t="s">
        <v>2</v>
      </c>
      <c r="F28" t="s">
        <v>1</v>
      </c>
      <c r="G28" t="s">
        <v>10</v>
      </c>
      <c r="R28" s="22"/>
      <c r="S28" s="22"/>
    </row>
    <row r="29" spans="1:19">
      <c r="A29" t="s">
        <v>281</v>
      </c>
      <c r="B29" s="1">
        <v>45922</v>
      </c>
      <c r="C29" t="s">
        <v>8</v>
      </c>
      <c r="D29" t="s">
        <v>3</v>
      </c>
      <c r="E29" t="s">
        <v>2</v>
      </c>
      <c r="F29" t="s">
        <v>1</v>
      </c>
      <c r="G29" t="s">
        <v>6</v>
      </c>
      <c r="R29" s="22"/>
      <c r="S29" s="22"/>
    </row>
    <row r="30" spans="1:19">
      <c r="A30" t="s">
        <v>280</v>
      </c>
      <c r="B30" s="1">
        <v>46136</v>
      </c>
      <c r="C30" t="s">
        <v>36</v>
      </c>
      <c r="D30" t="s">
        <v>3</v>
      </c>
      <c r="E30" t="s">
        <v>30</v>
      </c>
      <c r="F30" t="s">
        <v>1</v>
      </c>
      <c r="G30" t="s">
        <v>6</v>
      </c>
    </row>
    <row r="31" spans="1:19">
      <c r="A31" t="s">
        <v>279</v>
      </c>
      <c r="B31" s="1"/>
      <c r="C31" t="s">
        <v>4</v>
      </c>
      <c r="D31" t="s">
        <v>33</v>
      </c>
      <c r="E31" t="s">
        <v>30</v>
      </c>
      <c r="F31" t="s">
        <v>1</v>
      </c>
      <c r="G31" t="s">
        <v>10</v>
      </c>
      <c r="R31" s="25"/>
    </row>
    <row r="32" spans="1:19">
      <c r="A32" t="s">
        <v>278</v>
      </c>
      <c r="B32" s="1">
        <v>46208</v>
      </c>
      <c r="C32" t="s">
        <v>22</v>
      </c>
      <c r="D32" t="s">
        <v>26</v>
      </c>
      <c r="E32" t="s">
        <v>30</v>
      </c>
      <c r="F32" t="s">
        <v>11</v>
      </c>
      <c r="G32" t="s">
        <v>15</v>
      </c>
      <c r="R32" s="22"/>
      <c r="S32" s="22"/>
    </row>
    <row r="33" spans="1:19">
      <c r="A33" t="s">
        <v>277</v>
      </c>
      <c r="B33" s="1">
        <v>46182</v>
      </c>
      <c r="C33" t="s">
        <v>27</v>
      </c>
      <c r="D33" t="s">
        <v>33</v>
      </c>
      <c r="E33" t="s">
        <v>0</v>
      </c>
      <c r="F33" t="s">
        <v>11</v>
      </c>
      <c r="G33" t="s">
        <v>15</v>
      </c>
      <c r="R33" s="22"/>
      <c r="S33" s="22"/>
    </row>
    <row r="34" spans="1:19">
      <c r="A34" t="s">
        <v>276</v>
      </c>
      <c r="B34" s="1">
        <v>45671</v>
      </c>
      <c r="C34" t="s">
        <v>8</v>
      </c>
      <c r="D34" t="s">
        <v>7</v>
      </c>
      <c r="E34" t="s">
        <v>12</v>
      </c>
      <c r="F34" t="s">
        <v>11</v>
      </c>
      <c r="G34" t="s">
        <v>6</v>
      </c>
      <c r="R34" s="22"/>
      <c r="S34" s="22"/>
    </row>
    <row r="35" spans="1:19">
      <c r="A35" t="s">
        <v>275</v>
      </c>
      <c r="B35" s="1">
        <v>45853</v>
      </c>
      <c r="C35" t="s">
        <v>31</v>
      </c>
      <c r="D35" t="s">
        <v>33</v>
      </c>
      <c r="E35" t="s">
        <v>12</v>
      </c>
      <c r="F35" t="s">
        <v>11</v>
      </c>
      <c r="G35" t="s">
        <v>15</v>
      </c>
    </row>
    <row r="36" spans="1:19">
      <c r="A36" t="s">
        <v>274</v>
      </c>
      <c r="B36" s="1">
        <v>45680</v>
      </c>
      <c r="C36" t="s">
        <v>31</v>
      </c>
      <c r="D36" t="s">
        <v>7</v>
      </c>
      <c r="F36" t="s">
        <v>1</v>
      </c>
      <c r="G36" t="s">
        <v>15</v>
      </c>
    </row>
    <row r="37" spans="1:19">
      <c r="A37" t="s">
        <v>273</v>
      </c>
      <c r="B37" s="1">
        <v>45761</v>
      </c>
      <c r="C37" t="s">
        <v>4</v>
      </c>
      <c r="D37" t="s">
        <v>13</v>
      </c>
      <c r="E37" t="s">
        <v>2</v>
      </c>
      <c r="F37" t="s">
        <v>16</v>
      </c>
      <c r="G37" t="s">
        <v>10</v>
      </c>
    </row>
    <row r="38" spans="1:19">
      <c r="B38" s="1">
        <v>45822</v>
      </c>
      <c r="C38" t="s">
        <v>8</v>
      </c>
      <c r="D38" t="s">
        <v>3</v>
      </c>
      <c r="E38" t="s">
        <v>30</v>
      </c>
      <c r="F38" t="s">
        <v>1</v>
      </c>
      <c r="G38" t="s">
        <v>6</v>
      </c>
    </row>
    <row r="39" spans="1:19">
      <c r="A39" t="s">
        <v>272</v>
      </c>
      <c r="B39" s="1">
        <v>45957</v>
      </c>
      <c r="C39" t="s">
        <v>27</v>
      </c>
      <c r="D39" t="s">
        <v>21</v>
      </c>
      <c r="E39" t="s">
        <v>2</v>
      </c>
      <c r="F39" t="s">
        <v>11</v>
      </c>
    </row>
    <row r="40" spans="1:19">
      <c r="A40" t="s">
        <v>271</v>
      </c>
      <c r="B40" s="1" t="s">
        <v>147</v>
      </c>
      <c r="D40" t="s">
        <v>21</v>
      </c>
      <c r="E40" t="s">
        <v>2</v>
      </c>
      <c r="F40" t="s">
        <v>16</v>
      </c>
      <c r="G40" t="s">
        <v>6</v>
      </c>
    </row>
    <row r="41" spans="1:19">
      <c r="A41" t="s">
        <v>270</v>
      </c>
      <c r="B41" s="1">
        <v>45995</v>
      </c>
      <c r="C41" t="s">
        <v>36</v>
      </c>
      <c r="D41" t="s">
        <v>21</v>
      </c>
      <c r="E41" t="s">
        <v>2</v>
      </c>
      <c r="G41" t="s">
        <v>6</v>
      </c>
    </row>
    <row r="42" spans="1:19">
      <c r="A42" t="s">
        <v>269</v>
      </c>
      <c r="B42" s="1"/>
      <c r="C42" t="s">
        <v>36</v>
      </c>
      <c r="D42" t="s">
        <v>7</v>
      </c>
      <c r="E42" t="s">
        <v>2</v>
      </c>
      <c r="F42" t="s">
        <v>1</v>
      </c>
      <c r="G42" t="s">
        <v>6</v>
      </c>
    </row>
    <row r="43" spans="1:19">
      <c r="A43" t="s">
        <v>268</v>
      </c>
      <c r="B43" s="1">
        <v>46216</v>
      </c>
      <c r="C43" t="s">
        <v>36</v>
      </c>
      <c r="D43" t="s">
        <v>13</v>
      </c>
      <c r="E43" t="s">
        <v>12</v>
      </c>
      <c r="F43" t="s">
        <v>11</v>
      </c>
      <c r="G43" t="s">
        <v>6</v>
      </c>
    </row>
    <row r="44" spans="1:19">
      <c r="A44" t="s">
        <v>267</v>
      </c>
      <c r="B44" s="1">
        <v>45964</v>
      </c>
      <c r="C44" t="s">
        <v>4</v>
      </c>
      <c r="D44" t="s">
        <v>7</v>
      </c>
      <c r="E44" t="s">
        <v>2</v>
      </c>
      <c r="F44" t="s">
        <v>1</v>
      </c>
      <c r="G44" t="s">
        <v>10</v>
      </c>
    </row>
    <row r="45" spans="1:19">
      <c r="A45" t="s">
        <v>266</v>
      </c>
      <c r="B45" s="1">
        <v>45967</v>
      </c>
      <c r="C45" t="s">
        <v>36</v>
      </c>
      <c r="D45" t="s">
        <v>3</v>
      </c>
      <c r="E45" t="s">
        <v>2</v>
      </c>
      <c r="F45" t="s">
        <v>11</v>
      </c>
      <c r="G45" t="s">
        <v>6</v>
      </c>
    </row>
    <row r="46" spans="1:19">
      <c r="B46" s="1">
        <v>46017</v>
      </c>
      <c r="C46" t="s">
        <v>8</v>
      </c>
      <c r="D46" t="s">
        <v>33</v>
      </c>
      <c r="E46" t="s">
        <v>2</v>
      </c>
      <c r="F46" t="s">
        <v>16</v>
      </c>
      <c r="G46" t="s">
        <v>6</v>
      </c>
    </row>
    <row r="47" spans="1:19">
      <c r="A47" t="s">
        <v>265</v>
      </c>
      <c r="B47" s="1">
        <v>46222</v>
      </c>
      <c r="C47" t="s">
        <v>31</v>
      </c>
      <c r="D47" t="s">
        <v>3</v>
      </c>
      <c r="E47" t="s">
        <v>2</v>
      </c>
      <c r="F47" t="s">
        <v>11</v>
      </c>
      <c r="G47" t="s">
        <v>15</v>
      </c>
    </row>
    <row r="48" spans="1:19">
      <c r="A48" t="s">
        <v>264</v>
      </c>
      <c r="B48" s="1">
        <v>46176</v>
      </c>
      <c r="C48" t="s">
        <v>27</v>
      </c>
      <c r="E48" t="s">
        <v>2</v>
      </c>
      <c r="F48" t="s">
        <v>11</v>
      </c>
      <c r="G48" t="s">
        <v>15</v>
      </c>
    </row>
    <row r="49" spans="1:7">
      <c r="A49" t="s">
        <v>263</v>
      </c>
      <c r="B49" s="1">
        <v>45729</v>
      </c>
      <c r="C49" t="s">
        <v>36</v>
      </c>
      <c r="D49" t="s">
        <v>3</v>
      </c>
      <c r="E49" t="s">
        <v>2</v>
      </c>
      <c r="F49" t="s">
        <v>16</v>
      </c>
      <c r="G49" t="s">
        <v>6</v>
      </c>
    </row>
    <row r="50" spans="1:7">
      <c r="A50" t="s">
        <v>262</v>
      </c>
      <c r="B50" s="1"/>
      <c r="C50" t="s">
        <v>4</v>
      </c>
      <c r="D50" t="s">
        <v>21</v>
      </c>
      <c r="E50" t="s">
        <v>2</v>
      </c>
      <c r="F50" t="s">
        <v>1</v>
      </c>
      <c r="G50" t="s">
        <v>10</v>
      </c>
    </row>
    <row r="51" spans="1:7">
      <c r="A51" t="s">
        <v>261</v>
      </c>
      <c r="B51" s="1">
        <v>46156</v>
      </c>
      <c r="C51" t="s">
        <v>8</v>
      </c>
      <c r="D51" t="s">
        <v>33</v>
      </c>
      <c r="E51" t="s">
        <v>12</v>
      </c>
      <c r="F51" t="s">
        <v>47</v>
      </c>
      <c r="G51" t="s">
        <v>6</v>
      </c>
    </row>
    <row r="52" spans="1:7">
      <c r="A52" t="s">
        <v>260</v>
      </c>
      <c r="B52" s="1">
        <v>45909</v>
      </c>
      <c r="C52" t="s">
        <v>22</v>
      </c>
      <c r="D52" t="s">
        <v>26</v>
      </c>
      <c r="E52" t="s">
        <v>30</v>
      </c>
      <c r="F52" t="s">
        <v>16</v>
      </c>
      <c r="G52" t="s">
        <v>15</v>
      </c>
    </row>
    <row r="53" spans="1:7">
      <c r="A53" t="s">
        <v>259</v>
      </c>
      <c r="B53" s="1">
        <v>45765</v>
      </c>
      <c r="C53" t="s">
        <v>27</v>
      </c>
      <c r="D53" t="s">
        <v>21</v>
      </c>
      <c r="E53" t="s">
        <v>12</v>
      </c>
      <c r="F53" t="s">
        <v>11</v>
      </c>
    </row>
    <row r="54" spans="1:7">
      <c r="A54" t="s">
        <v>258</v>
      </c>
      <c r="B54" s="1"/>
      <c r="C54" t="s">
        <v>27</v>
      </c>
      <c r="D54" t="s">
        <v>3</v>
      </c>
      <c r="E54" t="s">
        <v>2</v>
      </c>
      <c r="F54" t="s">
        <v>1</v>
      </c>
      <c r="G54" t="s">
        <v>15</v>
      </c>
    </row>
    <row r="55" spans="1:7">
      <c r="A55" t="s">
        <v>257</v>
      </c>
      <c r="B55" s="1"/>
      <c r="C55" t="s">
        <v>27</v>
      </c>
      <c r="D55" t="s">
        <v>7</v>
      </c>
      <c r="E55" t="s">
        <v>2</v>
      </c>
      <c r="F55" t="s">
        <v>1</v>
      </c>
      <c r="G55" t="s">
        <v>15</v>
      </c>
    </row>
    <row r="56" spans="1:7">
      <c r="A56" t="s">
        <v>256</v>
      </c>
      <c r="B56" s="1">
        <v>46210</v>
      </c>
      <c r="C56" t="s">
        <v>27</v>
      </c>
      <c r="D56" t="s">
        <v>21</v>
      </c>
      <c r="E56" t="s">
        <v>2</v>
      </c>
      <c r="F56" t="s">
        <v>16</v>
      </c>
      <c r="G56" t="s">
        <v>15</v>
      </c>
    </row>
    <row r="57" spans="1:7">
      <c r="A57" t="s">
        <v>255</v>
      </c>
      <c r="B57" s="1">
        <v>45870</v>
      </c>
      <c r="C57" t="s">
        <v>27</v>
      </c>
      <c r="D57" t="s">
        <v>21</v>
      </c>
      <c r="F57" t="s">
        <v>16</v>
      </c>
      <c r="G57" t="s">
        <v>15</v>
      </c>
    </row>
    <row r="58" spans="1:7">
      <c r="A58" t="s">
        <v>254</v>
      </c>
      <c r="B58" s="1"/>
      <c r="C58" t="s">
        <v>31</v>
      </c>
      <c r="D58" t="s">
        <v>3</v>
      </c>
      <c r="E58" t="s">
        <v>12</v>
      </c>
      <c r="F58" t="s">
        <v>16</v>
      </c>
      <c r="G58" t="s">
        <v>15</v>
      </c>
    </row>
    <row r="59" spans="1:7">
      <c r="A59" t="s">
        <v>253</v>
      </c>
      <c r="B59" s="1">
        <v>45710</v>
      </c>
      <c r="C59" t="s">
        <v>27</v>
      </c>
      <c r="D59" t="s">
        <v>7</v>
      </c>
      <c r="E59" t="s">
        <v>30</v>
      </c>
      <c r="F59" t="s">
        <v>16</v>
      </c>
      <c r="G59" t="s">
        <v>15</v>
      </c>
    </row>
    <row r="60" spans="1:7">
      <c r="A60" t="s">
        <v>252</v>
      </c>
      <c r="B60" s="1">
        <v>46172</v>
      </c>
      <c r="C60" t="s">
        <v>27</v>
      </c>
      <c r="D60" t="s">
        <v>3</v>
      </c>
      <c r="E60" t="s">
        <v>2</v>
      </c>
      <c r="F60" t="s">
        <v>16</v>
      </c>
      <c r="G60" t="s">
        <v>15</v>
      </c>
    </row>
    <row r="61" spans="1:7">
      <c r="A61" t="s">
        <v>112</v>
      </c>
      <c r="B61" s="1">
        <v>45807</v>
      </c>
      <c r="C61" t="s">
        <v>27</v>
      </c>
      <c r="D61" t="s">
        <v>13</v>
      </c>
      <c r="E61" t="s">
        <v>2</v>
      </c>
      <c r="F61" t="s">
        <v>1</v>
      </c>
      <c r="G61" t="s">
        <v>15</v>
      </c>
    </row>
    <row r="62" spans="1:7">
      <c r="A62" t="s">
        <v>251</v>
      </c>
      <c r="B62" s="1">
        <v>45793</v>
      </c>
      <c r="C62" t="s">
        <v>8</v>
      </c>
      <c r="E62" t="s">
        <v>2</v>
      </c>
      <c r="F62" t="s">
        <v>11</v>
      </c>
      <c r="G62" t="s">
        <v>6</v>
      </c>
    </row>
    <row r="63" spans="1:7">
      <c r="A63" t="s">
        <v>250</v>
      </c>
      <c r="B63" s="1">
        <v>46016</v>
      </c>
      <c r="C63" t="s">
        <v>31</v>
      </c>
      <c r="D63" t="s">
        <v>7</v>
      </c>
      <c r="F63" t="s">
        <v>16</v>
      </c>
      <c r="G63" t="s">
        <v>15</v>
      </c>
    </row>
    <row r="64" spans="1:7">
      <c r="A64" t="s">
        <v>249</v>
      </c>
      <c r="B64" s="1">
        <v>45844</v>
      </c>
      <c r="C64" t="s">
        <v>27</v>
      </c>
      <c r="D64" t="s">
        <v>7</v>
      </c>
      <c r="E64" t="s">
        <v>12</v>
      </c>
      <c r="F64" t="s">
        <v>1</v>
      </c>
      <c r="G64" t="s">
        <v>15</v>
      </c>
    </row>
    <row r="65" spans="1:7">
      <c r="A65" t="s">
        <v>248</v>
      </c>
      <c r="B65" s="1">
        <v>45826</v>
      </c>
      <c r="C65" t="s">
        <v>27</v>
      </c>
      <c r="D65" t="s">
        <v>220</v>
      </c>
      <c r="F65" t="s">
        <v>1</v>
      </c>
      <c r="G65" t="s">
        <v>15</v>
      </c>
    </row>
    <row r="66" spans="1:7">
      <c r="A66" t="s">
        <v>247</v>
      </c>
      <c r="B66" s="1">
        <v>46130</v>
      </c>
      <c r="C66" t="s">
        <v>27</v>
      </c>
      <c r="D66" t="s">
        <v>13</v>
      </c>
      <c r="F66" t="s">
        <v>16</v>
      </c>
      <c r="G66" t="s">
        <v>15</v>
      </c>
    </row>
    <row r="67" spans="1:7">
      <c r="A67" t="s">
        <v>246</v>
      </c>
      <c r="B67" s="1">
        <v>46037</v>
      </c>
      <c r="C67" t="s">
        <v>27</v>
      </c>
      <c r="D67" t="s">
        <v>3</v>
      </c>
      <c r="E67" t="s">
        <v>2</v>
      </c>
      <c r="F67" t="s">
        <v>11</v>
      </c>
      <c r="G67" t="s">
        <v>15</v>
      </c>
    </row>
    <row r="68" spans="1:7">
      <c r="A68" t="s">
        <v>245</v>
      </c>
      <c r="B68" s="1">
        <v>45932</v>
      </c>
      <c r="C68" t="s">
        <v>36</v>
      </c>
      <c r="D68" t="s">
        <v>7</v>
      </c>
      <c r="E68" t="s">
        <v>12</v>
      </c>
      <c r="G68" t="s">
        <v>6</v>
      </c>
    </row>
    <row r="69" spans="1:7">
      <c r="A69" t="s">
        <v>244</v>
      </c>
      <c r="B69" s="1">
        <v>45834</v>
      </c>
      <c r="C69" t="s">
        <v>27</v>
      </c>
      <c r="D69" t="s">
        <v>13</v>
      </c>
      <c r="E69" t="s">
        <v>30</v>
      </c>
      <c r="G69" t="s">
        <v>15</v>
      </c>
    </row>
    <row r="70" spans="1:7">
      <c r="A70" t="s">
        <v>243</v>
      </c>
      <c r="B70" s="1">
        <v>45845</v>
      </c>
      <c r="C70" t="s">
        <v>4</v>
      </c>
      <c r="D70" t="s">
        <v>7</v>
      </c>
      <c r="E70" t="s">
        <v>2</v>
      </c>
      <c r="F70" t="s">
        <v>1</v>
      </c>
      <c r="G70" t="s">
        <v>10</v>
      </c>
    </row>
    <row r="71" spans="1:7">
      <c r="A71" t="s">
        <v>242</v>
      </c>
      <c r="B71" s="1">
        <v>45774</v>
      </c>
      <c r="C71" t="s">
        <v>36</v>
      </c>
      <c r="D71" t="s">
        <v>3</v>
      </c>
      <c r="E71" t="s">
        <v>2</v>
      </c>
      <c r="F71" t="s">
        <v>1</v>
      </c>
      <c r="G71" t="s">
        <v>6</v>
      </c>
    </row>
    <row r="72" spans="1:7">
      <c r="A72" t="s">
        <v>241</v>
      </c>
      <c r="B72" s="1">
        <v>46092</v>
      </c>
      <c r="C72" t="s">
        <v>27</v>
      </c>
      <c r="D72" t="s">
        <v>7</v>
      </c>
      <c r="E72" t="s">
        <v>12</v>
      </c>
      <c r="F72" t="s">
        <v>1</v>
      </c>
      <c r="G72" t="s">
        <v>15</v>
      </c>
    </row>
    <row r="73" spans="1:7">
      <c r="B73" s="1">
        <v>45832</v>
      </c>
      <c r="C73" t="s">
        <v>36</v>
      </c>
      <c r="D73" t="s">
        <v>26</v>
      </c>
      <c r="E73" t="s">
        <v>12</v>
      </c>
      <c r="F73" t="s">
        <v>47</v>
      </c>
      <c r="G73" t="s">
        <v>6</v>
      </c>
    </row>
    <row r="74" spans="1:7">
      <c r="A74" t="s">
        <v>240</v>
      </c>
      <c r="B74" s="1">
        <v>45848</v>
      </c>
      <c r="C74" t="s">
        <v>31</v>
      </c>
      <c r="D74" t="s">
        <v>3</v>
      </c>
      <c r="E74" t="s">
        <v>2</v>
      </c>
      <c r="F74" t="s">
        <v>11</v>
      </c>
      <c r="G74" t="s">
        <v>15</v>
      </c>
    </row>
    <row r="75" spans="1:7">
      <c r="A75" t="s">
        <v>239</v>
      </c>
      <c r="B75" s="1">
        <v>46002</v>
      </c>
      <c r="D75" t="s">
        <v>3</v>
      </c>
      <c r="E75" t="s">
        <v>12</v>
      </c>
      <c r="F75" t="s">
        <v>16</v>
      </c>
      <c r="G75" t="s">
        <v>15</v>
      </c>
    </row>
    <row r="76" spans="1:7">
      <c r="A76" t="s">
        <v>238</v>
      </c>
      <c r="B76" s="1">
        <v>45825</v>
      </c>
      <c r="C76" t="s">
        <v>36</v>
      </c>
      <c r="D76" t="s">
        <v>3</v>
      </c>
      <c r="E76" t="s">
        <v>2</v>
      </c>
      <c r="F76" t="s">
        <v>16</v>
      </c>
      <c r="G76" t="s">
        <v>6</v>
      </c>
    </row>
    <row r="77" spans="1:7">
      <c r="A77" t="s">
        <v>237</v>
      </c>
      <c r="B77" s="1">
        <v>45975</v>
      </c>
      <c r="C77" t="s">
        <v>27</v>
      </c>
      <c r="E77" t="s">
        <v>2</v>
      </c>
      <c r="F77" t="s">
        <v>236</v>
      </c>
      <c r="G77" t="s">
        <v>15</v>
      </c>
    </row>
    <row r="78" spans="1:7">
      <c r="A78" t="s">
        <v>235</v>
      </c>
      <c r="B78" s="1">
        <v>45950</v>
      </c>
      <c r="C78" t="s">
        <v>31</v>
      </c>
      <c r="D78" t="s">
        <v>13</v>
      </c>
      <c r="E78" t="s">
        <v>12</v>
      </c>
      <c r="F78" t="s">
        <v>1</v>
      </c>
      <c r="G78" t="s">
        <v>15</v>
      </c>
    </row>
    <row r="79" spans="1:7">
      <c r="A79" t="s">
        <v>234</v>
      </c>
      <c r="B79" s="1">
        <v>45770</v>
      </c>
      <c r="C79" t="s">
        <v>36</v>
      </c>
      <c r="E79" t="s">
        <v>2</v>
      </c>
      <c r="F79" t="s">
        <v>47</v>
      </c>
      <c r="G79" t="s">
        <v>6</v>
      </c>
    </row>
    <row r="80" spans="1:7">
      <c r="A80" t="s">
        <v>233</v>
      </c>
      <c r="B80" s="1">
        <v>46052</v>
      </c>
      <c r="C80" t="s">
        <v>27</v>
      </c>
      <c r="D80" t="s">
        <v>26</v>
      </c>
      <c r="E80" t="s">
        <v>12</v>
      </c>
      <c r="G80" t="s">
        <v>15</v>
      </c>
    </row>
    <row r="81" spans="1:7">
      <c r="A81" t="s">
        <v>232</v>
      </c>
      <c r="B81" s="1">
        <v>46061</v>
      </c>
      <c r="C81" t="s">
        <v>27</v>
      </c>
      <c r="D81" t="s">
        <v>7</v>
      </c>
      <c r="E81" t="s">
        <v>2</v>
      </c>
      <c r="F81" t="s">
        <v>1</v>
      </c>
      <c r="G81" t="s">
        <v>15</v>
      </c>
    </row>
    <row r="82" spans="1:7">
      <c r="A82" t="s">
        <v>231</v>
      </c>
      <c r="B82" s="1">
        <v>45921</v>
      </c>
      <c r="C82" t="s">
        <v>36</v>
      </c>
      <c r="D82" t="s">
        <v>33</v>
      </c>
      <c r="E82" t="s">
        <v>12</v>
      </c>
      <c r="F82" t="s">
        <v>11</v>
      </c>
      <c r="G82" t="s">
        <v>6</v>
      </c>
    </row>
    <row r="83" spans="1:7">
      <c r="A83" t="s">
        <v>230</v>
      </c>
      <c r="B83" s="1">
        <v>46129</v>
      </c>
      <c r="C83" t="s">
        <v>27</v>
      </c>
      <c r="D83" t="s">
        <v>7</v>
      </c>
      <c r="E83" t="s">
        <v>2</v>
      </c>
      <c r="F83" t="s">
        <v>47</v>
      </c>
      <c r="G83" t="s">
        <v>15</v>
      </c>
    </row>
    <row r="84" spans="1:7">
      <c r="A84" t="s">
        <v>229</v>
      </c>
      <c r="B84" s="1">
        <v>45879</v>
      </c>
      <c r="C84" t="s">
        <v>31</v>
      </c>
      <c r="D84" t="s">
        <v>26</v>
      </c>
      <c r="E84" t="s">
        <v>2</v>
      </c>
      <c r="F84" t="s">
        <v>47</v>
      </c>
      <c r="G84" t="s">
        <v>15</v>
      </c>
    </row>
    <row r="85" spans="1:7">
      <c r="A85" t="s">
        <v>228</v>
      </c>
      <c r="B85" s="1">
        <v>45930</v>
      </c>
      <c r="C85" t="s">
        <v>8</v>
      </c>
      <c r="D85" t="s">
        <v>7</v>
      </c>
      <c r="E85" t="s">
        <v>2</v>
      </c>
      <c r="F85" t="s">
        <v>11</v>
      </c>
      <c r="G85" t="s">
        <v>6</v>
      </c>
    </row>
    <row r="86" spans="1:7">
      <c r="A86" t="s">
        <v>227</v>
      </c>
      <c r="B86" s="1">
        <v>46018</v>
      </c>
      <c r="C86" t="s">
        <v>8</v>
      </c>
      <c r="D86" t="s">
        <v>13</v>
      </c>
      <c r="E86" t="s">
        <v>12</v>
      </c>
      <c r="F86" t="s">
        <v>1</v>
      </c>
      <c r="G86" t="s">
        <v>6</v>
      </c>
    </row>
    <row r="87" spans="1:7">
      <c r="A87" t="s">
        <v>226</v>
      </c>
      <c r="B87" s="1">
        <v>45831</v>
      </c>
      <c r="C87" t="s">
        <v>4</v>
      </c>
      <c r="D87" t="s">
        <v>3</v>
      </c>
      <c r="E87" t="s">
        <v>30</v>
      </c>
      <c r="F87" t="s">
        <v>1</v>
      </c>
      <c r="G87" t="s">
        <v>10</v>
      </c>
    </row>
    <row r="88" spans="1:7">
      <c r="A88" t="s">
        <v>225</v>
      </c>
      <c r="B88" s="1">
        <v>45988</v>
      </c>
      <c r="C88" t="s">
        <v>27</v>
      </c>
      <c r="D88" t="s">
        <v>13</v>
      </c>
      <c r="E88" t="s">
        <v>12</v>
      </c>
      <c r="F88" t="s">
        <v>16</v>
      </c>
      <c r="G88" t="s">
        <v>15</v>
      </c>
    </row>
    <row r="89" spans="1:7">
      <c r="A89" t="s">
        <v>224</v>
      </c>
      <c r="B89" s="1">
        <v>45866</v>
      </c>
      <c r="C89" t="s">
        <v>36</v>
      </c>
      <c r="D89" t="s">
        <v>3</v>
      </c>
      <c r="E89" t="s">
        <v>30</v>
      </c>
      <c r="F89" t="s">
        <v>16</v>
      </c>
    </row>
    <row r="90" spans="1:7">
      <c r="A90" t="s">
        <v>223</v>
      </c>
      <c r="B90" s="1">
        <v>46199</v>
      </c>
      <c r="C90" t="s">
        <v>31</v>
      </c>
      <c r="D90" t="s">
        <v>3</v>
      </c>
      <c r="E90" t="s">
        <v>12</v>
      </c>
      <c r="F90" t="s">
        <v>47</v>
      </c>
      <c r="G90" t="s">
        <v>0</v>
      </c>
    </row>
    <row r="91" spans="1:7">
      <c r="A91" t="s">
        <v>99</v>
      </c>
      <c r="B91" s="1">
        <v>46108</v>
      </c>
      <c r="C91" t="s">
        <v>31</v>
      </c>
      <c r="D91" t="s">
        <v>13</v>
      </c>
      <c r="E91" t="s">
        <v>30</v>
      </c>
      <c r="F91" t="s">
        <v>11</v>
      </c>
      <c r="G91" t="s">
        <v>15</v>
      </c>
    </row>
    <row r="92" spans="1:7">
      <c r="A92" t="s">
        <v>222</v>
      </c>
      <c r="B92" s="1">
        <v>46054</v>
      </c>
      <c r="C92" t="s">
        <v>36</v>
      </c>
      <c r="D92" t="s">
        <v>26</v>
      </c>
      <c r="E92" t="s">
        <v>12</v>
      </c>
      <c r="F92" t="s">
        <v>47</v>
      </c>
      <c r="G92" t="s">
        <v>6</v>
      </c>
    </row>
    <row r="93" spans="1:7">
      <c r="A93" t="s">
        <v>221</v>
      </c>
      <c r="B93" s="1">
        <v>45853</v>
      </c>
      <c r="C93" t="s">
        <v>220</v>
      </c>
      <c r="D93" t="s">
        <v>3</v>
      </c>
      <c r="E93" t="s">
        <v>2</v>
      </c>
      <c r="F93" t="s">
        <v>16</v>
      </c>
      <c r="G93" t="s">
        <v>15</v>
      </c>
    </row>
    <row r="94" spans="1:7">
      <c r="A94" t="s">
        <v>219</v>
      </c>
      <c r="B94" s="1">
        <v>46087</v>
      </c>
      <c r="C94" t="s">
        <v>36</v>
      </c>
      <c r="D94" t="s">
        <v>3</v>
      </c>
      <c r="E94" t="s">
        <v>12</v>
      </c>
      <c r="F94" t="s">
        <v>16</v>
      </c>
      <c r="G94" t="s">
        <v>6</v>
      </c>
    </row>
    <row r="95" spans="1:7">
      <c r="A95" t="s">
        <v>218</v>
      </c>
      <c r="B95" s="1">
        <v>45679</v>
      </c>
      <c r="C95" t="s">
        <v>4</v>
      </c>
      <c r="D95" t="s">
        <v>3</v>
      </c>
      <c r="E95" t="s">
        <v>12</v>
      </c>
      <c r="F95" t="s">
        <v>1</v>
      </c>
      <c r="G95" t="s">
        <v>10</v>
      </c>
    </row>
    <row r="96" spans="1:7">
      <c r="A96" t="s">
        <v>217</v>
      </c>
      <c r="B96" s="1">
        <v>46218</v>
      </c>
      <c r="C96" t="s">
        <v>4</v>
      </c>
      <c r="D96" t="s">
        <v>7</v>
      </c>
      <c r="E96" t="s">
        <v>2</v>
      </c>
      <c r="F96" t="s">
        <v>16</v>
      </c>
      <c r="G96" t="s">
        <v>10</v>
      </c>
    </row>
    <row r="97" spans="1:7">
      <c r="A97" t="s">
        <v>216</v>
      </c>
      <c r="B97" s="1">
        <v>46232</v>
      </c>
      <c r="C97" t="s">
        <v>31</v>
      </c>
      <c r="D97" t="s">
        <v>33</v>
      </c>
      <c r="E97" t="s">
        <v>12</v>
      </c>
      <c r="F97" t="s">
        <v>1</v>
      </c>
      <c r="G97" t="s">
        <v>15</v>
      </c>
    </row>
    <row r="98" spans="1:7">
      <c r="A98" t="s">
        <v>215</v>
      </c>
      <c r="B98" s="1">
        <v>45719</v>
      </c>
      <c r="C98" t="s">
        <v>4</v>
      </c>
      <c r="D98" t="s">
        <v>3</v>
      </c>
      <c r="E98" t="s">
        <v>12</v>
      </c>
      <c r="F98" t="s">
        <v>11</v>
      </c>
    </row>
    <row r="99" spans="1:7">
      <c r="A99" t="s">
        <v>214</v>
      </c>
      <c r="B99" s="1">
        <v>46147</v>
      </c>
      <c r="C99" t="s">
        <v>27</v>
      </c>
      <c r="D99" t="s">
        <v>7</v>
      </c>
      <c r="E99" t="s">
        <v>12</v>
      </c>
      <c r="F99" t="s">
        <v>16</v>
      </c>
      <c r="G99" t="s">
        <v>15</v>
      </c>
    </row>
    <row r="100" spans="1:7">
      <c r="A100" t="s">
        <v>213</v>
      </c>
      <c r="B100" s="1">
        <v>45754</v>
      </c>
      <c r="C100" t="s">
        <v>27</v>
      </c>
      <c r="D100" t="s">
        <v>3</v>
      </c>
      <c r="F100" t="s">
        <v>11</v>
      </c>
      <c r="G100" t="s">
        <v>15</v>
      </c>
    </row>
    <row r="101" spans="1:7">
      <c r="A101" t="s">
        <v>212</v>
      </c>
      <c r="B101" s="1">
        <v>45871</v>
      </c>
      <c r="C101" t="s">
        <v>27</v>
      </c>
      <c r="D101" t="s">
        <v>13</v>
      </c>
      <c r="E101" t="s">
        <v>2</v>
      </c>
      <c r="F101" t="s">
        <v>16</v>
      </c>
      <c r="G101" t="s">
        <v>15</v>
      </c>
    </row>
    <row r="102" spans="1:7">
      <c r="A102" t="s">
        <v>211</v>
      </c>
      <c r="B102" s="1">
        <v>45731</v>
      </c>
      <c r="C102" t="s">
        <v>31</v>
      </c>
      <c r="D102" t="s">
        <v>3</v>
      </c>
      <c r="E102" t="s">
        <v>2</v>
      </c>
      <c r="F102" t="s">
        <v>1</v>
      </c>
      <c r="G102" t="s">
        <v>55</v>
      </c>
    </row>
    <row r="103" spans="1:7">
      <c r="A103" t="s">
        <v>210</v>
      </c>
      <c r="B103" s="1">
        <v>46154</v>
      </c>
      <c r="C103" t="s">
        <v>4</v>
      </c>
      <c r="D103" t="s">
        <v>21</v>
      </c>
      <c r="E103" t="s">
        <v>2</v>
      </c>
      <c r="F103" t="s">
        <v>47</v>
      </c>
      <c r="G103" t="s">
        <v>10</v>
      </c>
    </row>
    <row r="104" spans="1:7">
      <c r="A104" t="s">
        <v>209</v>
      </c>
      <c r="B104" s="1">
        <v>46160</v>
      </c>
      <c r="C104" t="s">
        <v>36</v>
      </c>
      <c r="D104" t="s">
        <v>3</v>
      </c>
      <c r="E104" t="s">
        <v>2</v>
      </c>
      <c r="F104" t="s">
        <v>16</v>
      </c>
      <c r="G104" t="s">
        <v>6</v>
      </c>
    </row>
    <row r="105" spans="1:7">
      <c r="A105" t="s">
        <v>208</v>
      </c>
      <c r="B105" s="1">
        <v>45869</v>
      </c>
      <c r="C105" t="s">
        <v>36</v>
      </c>
      <c r="D105" t="s">
        <v>33</v>
      </c>
      <c r="E105" t="s">
        <v>2</v>
      </c>
      <c r="F105" t="s">
        <v>16</v>
      </c>
      <c r="G105" t="s">
        <v>6</v>
      </c>
    </row>
    <row r="106" spans="1:7">
      <c r="A106" t="s">
        <v>207</v>
      </c>
      <c r="B106" s="1">
        <v>46206</v>
      </c>
      <c r="C106" t="s">
        <v>31</v>
      </c>
      <c r="D106" t="s">
        <v>3</v>
      </c>
      <c r="E106" t="s">
        <v>2</v>
      </c>
      <c r="F106" t="s">
        <v>47</v>
      </c>
      <c r="G106" t="s">
        <v>15</v>
      </c>
    </row>
    <row r="107" spans="1:7">
      <c r="A107" t="s">
        <v>206</v>
      </c>
      <c r="B107" s="1">
        <v>45893</v>
      </c>
      <c r="C107" t="s">
        <v>8</v>
      </c>
      <c r="D107" t="s">
        <v>13</v>
      </c>
      <c r="E107" t="s">
        <v>2</v>
      </c>
      <c r="F107" t="s">
        <v>47</v>
      </c>
    </row>
    <row r="108" spans="1:7">
      <c r="A108" t="s">
        <v>205</v>
      </c>
      <c r="B108" s="1">
        <v>45764</v>
      </c>
      <c r="C108" t="s">
        <v>8</v>
      </c>
      <c r="D108" t="s">
        <v>26</v>
      </c>
      <c r="E108" t="s">
        <v>2</v>
      </c>
      <c r="F108" t="s">
        <v>1</v>
      </c>
      <c r="G108" t="s">
        <v>6</v>
      </c>
    </row>
    <row r="109" spans="1:7">
      <c r="A109" t="s">
        <v>177</v>
      </c>
      <c r="B109" s="1">
        <v>45901</v>
      </c>
      <c r="C109" t="s">
        <v>27</v>
      </c>
      <c r="D109" t="s">
        <v>33</v>
      </c>
      <c r="E109" t="s">
        <v>12</v>
      </c>
      <c r="F109" t="s">
        <v>47</v>
      </c>
      <c r="G109" t="s">
        <v>15</v>
      </c>
    </row>
    <row r="110" spans="1:7">
      <c r="A110" t="s">
        <v>204</v>
      </c>
      <c r="B110" s="1">
        <v>46144</v>
      </c>
      <c r="C110" t="s">
        <v>8</v>
      </c>
      <c r="D110" t="s">
        <v>21</v>
      </c>
      <c r="E110" t="s">
        <v>12</v>
      </c>
      <c r="F110" t="s">
        <v>1</v>
      </c>
      <c r="G110" t="s">
        <v>6</v>
      </c>
    </row>
    <row r="111" spans="1:7">
      <c r="B111" s="1">
        <v>46045</v>
      </c>
      <c r="C111" t="s">
        <v>36</v>
      </c>
      <c r="D111" t="s">
        <v>33</v>
      </c>
      <c r="E111" t="s">
        <v>2</v>
      </c>
      <c r="F111" t="s">
        <v>11</v>
      </c>
      <c r="G111" t="s">
        <v>6</v>
      </c>
    </row>
    <row r="112" spans="1:7">
      <c r="A112" t="s">
        <v>203</v>
      </c>
      <c r="B112" s="1">
        <v>45775</v>
      </c>
      <c r="C112" t="s">
        <v>22</v>
      </c>
      <c r="D112" t="s">
        <v>3</v>
      </c>
      <c r="E112" t="s">
        <v>2</v>
      </c>
      <c r="F112" t="s">
        <v>1</v>
      </c>
      <c r="G112" t="s">
        <v>15</v>
      </c>
    </row>
    <row r="113" spans="1:7">
      <c r="A113" t="s">
        <v>202</v>
      </c>
      <c r="B113" s="1">
        <v>45912</v>
      </c>
      <c r="C113" t="s">
        <v>8</v>
      </c>
      <c r="D113" t="s">
        <v>7</v>
      </c>
      <c r="E113" t="s">
        <v>2</v>
      </c>
      <c r="F113" t="s">
        <v>1</v>
      </c>
    </row>
    <row r="114" spans="1:7">
      <c r="A114" t="s">
        <v>201</v>
      </c>
      <c r="B114" s="1">
        <v>45974</v>
      </c>
      <c r="C114" t="s">
        <v>8</v>
      </c>
      <c r="D114" t="s">
        <v>26</v>
      </c>
      <c r="E114" t="s">
        <v>2</v>
      </c>
      <c r="F114" t="s">
        <v>1</v>
      </c>
      <c r="G114" t="s">
        <v>6</v>
      </c>
    </row>
    <row r="115" spans="1:7">
      <c r="A115" t="s">
        <v>200</v>
      </c>
      <c r="B115" s="1">
        <v>46059</v>
      </c>
      <c r="C115" t="s">
        <v>31</v>
      </c>
      <c r="D115" t="s">
        <v>7</v>
      </c>
      <c r="E115" t="s">
        <v>2</v>
      </c>
      <c r="F115" t="s">
        <v>0</v>
      </c>
      <c r="G115" t="s">
        <v>15</v>
      </c>
    </row>
    <row r="116" spans="1:7">
      <c r="A116" t="s">
        <v>199</v>
      </c>
      <c r="B116" s="1">
        <v>45678</v>
      </c>
      <c r="C116" t="s">
        <v>27</v>
      </c>
      <c r="D116" t="s">
        <v>26</v>
      </c>
      <c r="E116" t="s">
        <v>30</v>
      </c>
      <c r="F116" t="s">
        <v>1</v>
      </c>
      <c r="G116" t="s">
        <v>15</v>
      </c>
    </row>
    <row r="117" spans="1:7">
      <c r="A117" t="s">
        <v>198</v>
      </c>
      <c r="B117" s="1">
        <v>46030</v>
      </c>
      <c r="D117" t="s">
        <v>33</v>
      </c>
      <c r="E117" t="s">
        <v>30</v>
      </c>
      <c r="F117" t="s">
        <v>16</v>
      </c>
      <c r="G117" t="s">
        <v>6</v>
      </c>
    </row>
    <row r="118" spans="1:7">
      <c r="B118" s="1">
        <v>46039</v>
      </c>
      <c r="C118" t="s">
        <v>8</v>
      </c>
      <c r="D118" t="s">
        <v>33</v>
      </c>
      <c r="E118" t="s">
        <v>2</v>
      </c>
      <c r="F118" t="s">
        <v>1</v>
      </c>
      <c r="G118" t="s">
        <v>6</v>
      </c>
    </row>
    <row r="119" spans="1:7">
      <c r="A119" t="s">
        <v>197</v>
      </c>
      <c r="B119" s="1">
        <v>45669</v>
      </c>
      <c r="C119" t="s">
        <v>4</v>
      </c>
      <c r="D119" t="s">
        <v>26</v>
      </c>
      <c r="E119" t="s">
        <v>12</v>
      </c>
      <c r="F119" t="s">
        <v>11</v>
      </c>
      <c r="G119" t="s">
        <v>10</v>
      </c>
    </row>
    <row r="120" spans="1:7">
      <c r="A120" t="s">
        <v>196</v>
      </c>
      <c r="B120" s="1">
        <v>45784</v>
      </c>
      <c r="C120" t="s">
        <v>31</v>
      </c>
      <c r="D120" t="s">
        <v>3</v>
      </c>
      <c r="E120" t="s">
        <v>2</v>
      </c>
      <c r="F120" t="s">
        <v>1</v>
      </c>
      <c r="G120" t="s">
        <v>15</v>
      </c>
    </row>
    <row r="121" spans="1:7">
      <c r="A121" t="s">
        <v>195</v>
      </c>
      <c r="B121" s="1">
        <v>45864</v>
      </c>
      <c r="D121" t="s">
        <v>33</v>
      </c>
      <c r="E121" t="s">
        <v>2</v>
      </c>
      <c r="F121" t="s">
        <v>47</v>
      </c>
      <c r="G121" t="s">
        <v>10</v>
      </c>
    </row>
    <row r="122" spans="1:7">
      <c r="A122" t="s">
        <v>194</v>
      </c>
      <c r="B122" s="1">
        <v>45713</v>
      </c>
      <c r="C122" t="s">
        <v>31</v>
      </c>
      <c r="D122" t="s">
        <v>3</v>
      </c>
      <c r="E122" t="s">
        <v>30</v>
      </c>
      <c r="F122" t="s">
        <v>16</v>
      </c>
      <c r="G122" t="s">
        <v>15</v>
      </c>
    </row>
    <row r="123" spans="1:7">
      <c r="A123" t="s">
        <v>193</v>
      </c>
      <c r="B123" s="1">
        <v>45797</v>
      </c>
      <c r="C123" t="s">
        <v>22</v>
      </c>
      <c r="D123" t="s">
        <v>13</v>
      </c>
      <c r="E123" t="s">
        <v>2</v>
      </c>
      <c r="F123" t="s">
        <v>16</v>
      </c>
      <c r="G123" t="s">
        <v>15</v>
      </c>
    </row>
    <row r="124" spans="1:7">
      <c r="A124" t="s">
        <v>192</v>
      </c>
      <c r="B124" s="1"/>
      <c r="C124" t="s">
        <v>27</v>
      </c>
      <c r="D124" t="s">
        <v>13</v>
      </c>
      <c r="E124" t="s">
        <v>2</v>
      </c>
      <c r="F124" t="s">
        <v>16</v>
      </c>
      <c r="G124" t="s">
        <v>15</v>
      </c>
    </row>
    <row r="125" spans="1:7">
      <c r="A125" t="s">
        <v>191</v>
      </c>
      <c r="B125" s="1">
        <v>45690</v>
      </c>
      <c r="C125" t="s">
        <v>36</v>
      </c>
      <c r="D125" t="s">
        <v>7</v>
      </c>
      <c r="E125" t="s">
        <v>12</v>
      </c>
      <c r="F125" t="s">
        <v>16</v>
      </c>
      <c r="G125" t="s">
        <v>6</v>
      </c>
    </row>
    <row r="126" spans="1:7">
      <c r="A126" t="s">
        <v>190</v>
      </c>
      <c r="B126" s="1">
        <v>45900</v>
      </c>
      <c r="C126" t="s">
        <v>36</v>
      </c>
      <c r="D126" t="s">
        <v>33</v>
      </c>
      <c r="E126" t="s">
        <v>2</v>
      </c>
      <c r="F126" t="s">
        <v>1</v>
      </c>
      <c r="G126" t="s">
        <v>6</v>
      </c>
    </row>
    <row r="127" spans="1:7">
      <c r="B127" s="1">
        <v>46159</v>
      </c>
      <c r="C127" t="s">
        <v>189</v>
      </c>
      <c r="D127" t="s">
        <v>7</v>
      </c>
      <c r="E127" t="s">
        <v>2</v>
      </c>
      <c r="F127" t="s">
        <v>11</v>
      </c>
      <c r="G127" t="s">
        <v>15</v>
      </c>
    </row>
    <row r="128" spans="1:7">
      <c r="A128" t="s">
        <v>188</v>
      </c>
      <c r="B128" s="1">
        <v>46128</v>
      </c>
      <c r="C128" t="s">
        <v>36</v>
      </c>
      <c r="D128" t="s">
        <v>7</v>
      </c>
      <c r="E128" t="s">
        <v>30</v>
      </c>
      <c r="F128" t="s">
        <v>47</v>
      </c>
      <c r="G128" t="s">
        <v>6</v>
      </c>
    </row>
    <row r="129" spans="1:7">
      <c r="A129" t="s">
        <v>187</v>
      </c>
      <c r="B129" s="1">
        <v>45845</v>
      </c>
      <c r="C129" t="s">
        <v>22</v>
      </c>
      <c r="D129" t="s">
        <v>21</v>
      </c>
      <c r="E129" t="s">
        <v>2</v>
      </c>
      <c r="F129" t="s">
        <v>1</v>
      </c>
      <c r="G129" t="s">
        <v>15</v>
      </c>
    </row>
    <row r="130" spans="1:7">
      <c r="A130" t="s">
        <v>186</v>
      </c>
      <c r="B130" s="1">
        <v>45880</v>
      </c>
      <c r="C130" t="s">
        <v>36</v>
      </c>
      <c r="D130" t="s">
        <v>21</v>
      </c>
      <c r="E130" t="s">
        <v>12</v>
      </c>
      <c r="F130" t="s">
        <v>16</v>
      </c>
      <c r="G130" t="s">
        <v>6</v>
      </c>
    </row>
    <row r="131" spans="1:7">
      <c r="A131" t="s">
        <v>185</v>
      </c>
      <c r="B131" s="1">
        <v>45915</v>
      </c>
      <c r="C131" t="s">
        <v>27</v>
      </c>
      <c r="D131" t="s">
        <v>21</v>
      </c>
      <c r="E131" t="s">
        <v>2</v>
      </c>
      <c r="F131" t="s">
        <v>16</v>
      </c>
      <c r="G131" t="s">
        <v>15</v>
      </c>
    </row>
    <row r="132" spans="1:7">
      <c r="A132" t="s">
        <v>184</v>
      </c>
      <c r="B132" s="1">
        <v>45743</v>
      </c>
      <c r="D132" t="s">
        <v>26</v>
      </c>
      <c r="E132" t="s">
        <v>2</v>
      </c>
      <c r="F132" t="s">
        <v>1</v>
      </c>
      <c r="G132" t="s">
        <v>6</v>
      </c>
    </row>
    <row r="133" spans="1:7">
      <c r="B133" s="1">
        <v>45850</v>
      </c>
      <c r="C133" t="s">
        <v>4</v>
      </c>
      <c r="D133" t="s">
        <v>33</v>
      </c>
      <c r="E133" t="s">
        <v>12</v>
      </c>
      <c r="F133" t="s">
        <v>1</v>
      </c>
      <c r="G133" t="s">
        <v>10</v>
      </c>
    </row>
    <row r="134" spans="1:7">
      <c r="A134" t="s">
        <v>90</v>
      </c>
      <c r="B134" s="1">
        <v>45824</v>
      </c>
      <c r="C134" t="s">
        <v>27</v>
      </c>
      <c r="D134" t="s">
        <v>7</v>
      </c>
      <c r="E134" t="s">
        <v>12</v>
      </c>
      <c r="F134" t="s">
        <v>16</v>
      </c>
      <c r="G134" t="s">
        <v>15</v>
      </c>
    </row>
    <row r="135" spans="1:7">
      <c r="A135" t="s">
        <v>183</v>
      </c>
      <c r="B135" s="1">
        <v>45748</v>
      </c>
      <c r="C135" t="s">
        <v>22</v>
      </c>
      <c r="E135" t="s">
        <v>12</v>
      </c>
      <c r="F135" t="s">
        <v>1</v>
      </c>
      <c r="G135" t="s">
        <v>15</v>
      </c>
    </row>
    <row r="136" spans="1:7">
      <c r="A136" t="s">
        <v>182</v>
      </c>
      <c r="B136" s="1">
        <v>46055</v>
      </c>
      <c r="C136" t="s">
        <v>31</v>
      </c>
      <c r="D136" t="s">
        <v>26</v>
      </c>
      <c r="E136" t="s">
        <v>12</v>
      </c>
      <c r="F136" t="s">
        <v>1</v>
      </c>
    </row>
    <row r="137" spans="1:7">
      <c r="A137" t="s">
        <v>181</v>
      </c>
      <c r="B137" s="1"/>
      <c r="C137" t="s">
        <v>22</v>
      </c>
      <c r="D137" t="s">
        <v>7</v>
      </c>
      <c r="E137" t="s">
        <v>12</v>
      </c>
      <c r="F137" t="s">
        <v>1</v>
      </c>
      <c r="G137" t="s">
        <v>15</v>
      </c>
    </row>
    <row r="138" spans="1:7">
      <c r="A138" t="s">
        <v>180</v>
      </c>
      <c r="B138" s="1">
        <v>46171</v>
      </c>
      <c r="C138" t="s">
        <v>27</v>
      </c>
      <c r="D138" t="s">
        <v>33</v>
      </c>
      <c r="E138" t="s">
        <v>2</v>
      </c>
      <c r="F138" t="s">
        <v>1</v>
      </c>
    </row>
    <row r="139" spans="1:7">
      <c r="A139" t="s">
        <v>179</v>
      </c>
      <c r="B139" s="1">
        <v>46025</v>
      </c>
      <c r="C139" t="s">
        <v>8</v>
      </c>
      <c r="D139" t="s">
        <v>33</v>
      </c>
      <c r="E139" t="s">
        <v>2</v>
      </c>
      <c r="F139" t="s">
        <v>1</v>
      </c>
      <c r="G139" t="s">
        <v>6</v>
      </c>
    </row>
    <row r="140" spans="1:7">
      <c r="A140" t="s">
        <v>178</v>
      </c>
      <c r="B140" s="1">
        <v>45713</v>
      </c>
      <c r="C140" t="s">
        <v>36</v>
      </c>
      <c r="D140" t="s">
        <v>26</v>
      </c>
      <c r="E140" t="s">
        <v>2</v>
      </c>
      <c r="F140" t="s">
        <v>47</v>
      </c>
      <c r="G140" t="s">
        <v>6</v>
      </c>
    </row>
    <row r="141" spans="1:7">
      <c r="A141" t="s">
        <v>177</v>
      </c>
      <c r="B141" s="1">
        <v>45901</v>
      </c>
      <c r="C141" t="s">
        <v>27</v>
      </c>
      <c r="D141" t="s">
        <v>33</v>
      </c>
      <c r="E141" t="s">
        <v>12</v>
      </c>
      <c r="F141" t="s">
        <v>47</v>
      </c>
      <c r="G141" t="s">
        <v>15</v>
      </c>
    </row>
    <row r="142" spans="1:7">
      <c r="A142" t="s">
        <v>176</v>
      </c>
      <c r="B142" s="1">
        <v>46008</v>
      </c>
      <c r="C142" t="s">
        <v>36</v>
      </c>
      <c r="D142" t="s">
        <v>3</v>
      </c>
      <c r="E142" t="s">
        <v>12</v>
      </c>
      <c r="F142" t="s">
        <v>11</v>
      </c>
      <c r="G142" t="s">
        <v>6</v>
      </c>
    </row>
    <row r="143" spans="1:7">
      <c r="A143" t="s">
        <v>175</v>
      </c>
      <c r="B143" s="1">
        <v>45882</v>
      </c>
      <c r="C143" t="s">
        <v>0</v>
      </c>
      <c r="D143" t="s">
        <v>33</v>
      </c>
      <c r="E143" t="s">
        <v>30</v>
      </c>
      <c r="F143" t="s">
        <v>1</v>
      </c>
      <c r="G143" t="s">
        <v>6</v>
      </c>
    </row>
    <row r="144" spans="1:7">
      <c r="A144" t="s">
        <v>174</v>
      </c>
      <c r="B144" s="1">
        <v>45701</v>
      </c>
      <c r="C144" t="s">
        <v>22</v>
      </c>
      <c r="D144" t="s">
        <v>7</v>
      </c>
      <c r="E144" t="s">
        <v>2</v>
      </c>
      <c r="F144" t="s">
        <v>1</v>
      </c>
      <c r="G144" t="s">
        <v>15</v>
      </c>
    </row>
    <row r="145" spans="1:7">
      <c r="A145" t="s">
        <v>173</v>
      </c>
      <c r="B145" s="1">
        <v>45850</v>
      </c>
      <c r="C145" t="s">
        <v>36</v>
      </c>
      <c r="D145" t="s">
        <v>13</v>
      </c>
      <c r="E145" t="s">
        <v>12</v>
      </c>
      <c r="F145" t="s">
        <v>16</v>
      </c>
      <c r="G145" t="s">
        <v>6</v>
      </c>
    </row>
    <row r="146" spans="1:7">
      <c r="A146" t="s">
        <v>145</v>
      </c>
      <c r="B146" s="1">
        <v>46133</v>
      </c>
      <c r="C146" t="s">
        <v>27</v>
      </c>
      <c r="D146" t="s">
        <v>21</v>
      </c>
      <c r="E146" t="s">
        <v>2</v>
      </c>
      <c r="F146" t="s">
        <v>16</v>
      </c>
      <c r="G146" t="s">
        <v>15</v>
      </c>
    </row>
    <row r="147" spans="1:7">
      <c r="A147" t="s">
        <v>172</v>
      </c>
      <c r="B147" s="1">
        <v>46019</v>
      </c>
      <c r="C147" t="s">
        <v>31</v>
      </c>
      <c r="D147" t="s">
        <v>26</v>
      </c>
      <c r="E147" t="s">
        <v>30</v>
      </c>
      <c r="F147" t="s">
        <v>11</v>
      </c>
      <c r="G147" t="s">
        <v>15</v>
      </c>
    </row>
    <row r="148" spans="1:7">
      <c r="A148" t="s">
        <v>171</v>
      </c>
      <c r="B148" s="1"/>
      <c r="C148" t="s">
        <v>36</v>
      </c>
      <c r="D148" t="s">
        <v>0</v>
      </c>
      <c r="E148" t="s">
        <v>2</v>
      </c>
      <c r="F148" t="s">
        <v>1</v>
      </c>
      <c r="G148" t="s">
        <v>6</v>
      </c>
    </row>
    <row r="149" spans="1:7">
      <c r="A149" t="s">
        <v>170</v>
      </c>
      <c r="B149" s="1">
        <v>46231</v>
      </c>
      <c r="C149" t="s">
        <v>8</v>
      </c>
      <c r="D149" t="s">
        <v>13</v>
      </c>
      <c r="E149" t="s">
        <v>30</v>
      </c>
      <c r="F149" t="s">
        <v>16</v>
      </c>
      <c r="G149" t="s">
        <v>6</v>
      </c>
    </row>
    <row r="150" spans="1:7">
      <c r="A150" t="s">
        <v>169</v>
      </c>
      <c r="B150" s="1">
        <v>46209</v>
      </c>
      <c r="C150" t="s">
        <v>27</v>
      </c>
      <c r="D150" t="s">
        <v>13</v>
      </c>
      <c r="E150" t="s">
        <v>2</v>
      </c>
      <c r="F150" t="s">
        <v>1</v>
      </c>
    </row>
    <row r="151" spans="1:7">
      <c r="A151" t="s">
        <v>168</v>
      </c>
      <c r="B151" s="1">
        <v>45682</v>
      </c>
      <c r="C151" t="s">
        <v>27</v>
      </c>
      <c r="D151" t="s">
        <v>33</v>
      </c>
      <c r="E151" t="s">
        <v>12</v>
      </c>
      <c r="F151" t="s">
        <v>11</v>
      </c>
      <c r="G151" t="s">
        <v>15</v>
      </c>
    </row>
    <row r="152" spans="1:7">
      <c r="A152" t="s">
        <v>167</v>
      </c>
      <c r="B152" s="1">
        <v>45694</v>
      </c>
      <c r="C152" t="s">
        <v>31</v>
      </c>
      <c r="D152" t="s">
        <v>26</v>
      </c>
      <c r="E152" t="s">
        <v>12</v>
      </c>
      <c r="F152" t="s">
        <v>47</v>
      </c>
      <c r="G152" t="s">
        <v>15</v>
      </c>
    </row>
    <row r="153" spans="1:7">
      <c r="A153" t="s">
        <v>166</v>
      </c>
      <c r="B153" s="1">
        <v>45901</v>
      </c>
      <c r="C153" t="s">
        <v>8</v>
      </c>
      <c r="E153" t="s">
        <v>2</v>
      </c>
      <c r="F153" t="s">
        <v>1</v>
      </c>
      <c r="G153" t="s">
        <v>6</v>
      </c>
    </row>
    <row r="154" spans="1:7">
      <c r="A154" t="s">
        <v>165</v>
      </c>
      <c r="B154" s="1">
        <v>45877</v>
      </c>
      <c r="C154" t="s">
        <v>31</v>
      </c>
      <c r="D154" t="s">
        <v>13</v>
      </c>
      <c r="E154" t="s">
        <v>12</v>
      </c>
      <c r="F154" t="s">
        <v>1</v>
      </c>
      <c r="G154" t="s">
        <v>15</v>
      </c>
    </row>
    <row r="155" spans="1:7">
      <c r="A155" t="s">
        <v>164</v>
      </c>
      <c r="B155" s="1">
        <v>46150</v>
      </c>
      <c r="C155" t="s">
        <v>27</v>
      </c>
      <c r="D155" t="s">
        <v>3</v>
      </c>
      <c r="E155" t="s">
        <v>2</v>
      </c>
      <c r="F155" t="s">
        <v>163</v>
      </c>
      <c r="G155" t="s">
        <v>15</v>
      </c>
    </row>
    <row r="156" spans="1:7">
      <c r="A156" t="s">
        <v>162</v>
      </c>
      <c r="B156" s="1"/>
      <c r="C156" t="s">
        <v>27</v>
      </c>
      <c r="D156" t="s">
        <v>3</v>
      </c>
      <c r="E156" t="s">
        <v>2</v>
      </c>
      <c r="F156" t="s">
        <v>1</v>
      </c>
      <c r="G156" t="s">
        <v>15</v>
      </c>
    </row>
    <row r="157" spans="1:7">
      <c r="A157" t="s">
        <v>161</v>
      </c>
      <c r="B157" s="1">
        <v>45991</v>
      </c>
      <c r="C157" t="s">
        <v>27</v>
      </c>
      <c r="D157" t="s">
        <v>26</v>
      </c>
      <c r="E157" t="s">
        <v>12</v>
      </c>
      <c r="F157" t="s">
        <v>47</v>
      </c>
      <c r="G157" t="s">
        <v>15</v>
      </c>
    </row>
    <row r="158" spans="1:7">
      <c r="A158" t="s">
        <v>160</v>
      </c>
      <c r="B158" s="1">
        <v>45727</v>
      </c>
      <c r="C158" t="s">
        <v>36</v>
      </c>
      <c r="E158" t="s">
        <v>2</v>
      </c>
      <c r="F158" t="s">
        <v>11</v>
      </c>
      <c r="G158" t="s">
        <v>6</v>
      </c>
    </row>
    <row r="159" spans="1:7">
      <c r="A159" t="s">
        <v>159</v>
      </c>
      <c r="B159" s="1">
        <v>46058</v>
      </c>
      <c r="C159" t="s">
        <v>27</v>
      </c>
      <c r="D159" t="s">
        <v>7</v>
      </c>
      <c r="E159" t="s">
        <v>12</v>
      </c>
      <c r="G159" t="s">
        <v>15</v>
      </c>
    </row>
    <row r="160" spans="1:7">
      <c r="A160" t="s">
        <v>158</v>
      </c>
      <c r="B160" s="1">
        <v>46223</v>
      </c>
      <c r="C160" t="s">
        <v>27</v>
      </c>
      <c r="D160" t="s">
        <v>26</v>
      </c>
      <c r="E160" t="s">
        <v>12</v>
      </c>
      <c r="F160" t="s">
        <v>1</v>
      </c>
      <c r="G160" t="s">
        <v>15</v>
      </c>
    </row>
    <row r="161" spans="1:7">
      <c r="A161" t="s">
        <v>157</v>
      </c>
      <c r="B161" s="1">
        <v>46037</v>
      </c>
      <c r="C161" t="s">
        <v>27</v>
      </c>
      <c r="D161" t="s">
        <v>3</v>
      </c>
      <c r="E161" t="s">
        <v>12</v>
      </c>
      <c r="F161" t="s">
        <v>1</v>
      </c>
      <c r="G161" t="s">
        <v>15</v>
      </c>
    </row>
    <row r="162" spans="1:7">
      <c r="A162" t="s">
        <v>156</v>
      </c>
      <c r="B162" s="1">
        <v>46066</v>
      </c>
      <c r="C162" t="s">
        <v>22</v>
      </c>
      <c r="D162" t="s">
        <v>21</v>
      </c>
      <c r="E162" t="s">
        <v>2</v>
      </c>
      <c r="F162" t="s">
        <v>1</v>
      </c>
      <c r="G162" t="s">
        <v>15</v>
      </c>
    </row>
    <row r="163" spans="1:7">
      <c r="A163" t="s">
        <v>155</v>
      </c>
      <c r="B163" s="1">
        <v>45935</v>
      </c>
      <c r="C163" t="s">
        <v>31</v>
      </c>
      <c r="D163" t="s">
        <v>26</v>
      </c>
      <c r="F163" t="s">
        <v>11</v>
      </c>
      <c r="G163" t="s">
        <v>15</v>
      </c>
    </row>
    <row r="164" spans="1:7">
      <c r="A164" t="s">
        <v>154</v>
      </c>
      <c r="B164" s="1">
        <v>46051</v>
      </c>
      <c r="C164" t="s">
        <v>36</v>
      </c>
      <c r="D164" t="s">
        <v>33</v>
      </c>
      <c r="E164" t="s">
        <v>2</v>
      </c>
      <c r="F164" t="s">
        <v>1</v>
      </c>
      <c r="G164" t="s">
        <v>6</v>
      </c>
    </row>
    <row r="165" spans="1:7">
      <c r="A165" t="s">
        <v>153</v>
      </c>
      <c r="B165" s="1">
        <v>45924</v>
      </c>
      <c r="C165" t="s">
        <v>8</v>
      </c>
      <c r="D165" t="s">
        <v>21</v>
      </c>
      <c r="F165" t="s">
        <v>11</v>
      </c>
      <c r="G165" t="s">
        <v>6</v>
      </c>
    </row>
    <row r="166" spans="1:7">
      <c r="A166" t="s">
        <v>152</v>
      </c>
      <c r="B166" s="1">
        <v>45923</v>
      </c>
      <c r="C166" t="s">
        <v>31</v>
      </c>
      <c r="D166" t="s">
        <v>3</v>
      </c>
      <c r="E166" t="s">
        <v>2</v>
      </c>
      <c r="F166" t="s">
        <v>1</v>
      </c>
      <c r="G166" t="s">
        <v>15</v>
      </c>
    </row>
    <row r="167" spans="1:7">
      <c r="A167" t="s">
        <v>32</v>
      </c>
      <c r="B167" s="1">
        <v>45806</v>
      </c>
      <c r="C167" t="s">
        <v>31</v>
      </c>
      <c r="D167" t="s">
        <v>7</v>
      </c>
      <c r="E167" t="s">
        <v>30</v>
      </c>
      <c r="F167" t="s">
        <v>11</v>
      </c>
      <c r="G167" t="s">
        <v>15</v>
      </c>
    </row>
    <row r="168" spans="1:7">
      <c r="A168" t="s">
        <v>151</v>
      </c>
      <c r="B168" s="1">
        <v>46034</v>
      </c>
      <c r="D168" t="s">
        <v>3</v>
      </c>
      <c r="E168" t="s">
        <v>30</v>
      </c>
      <c r="F168" t="s">
        <v>16</v>
      </c>
      <c r="G168" t="s">
        <v>15</v>
      </c>
    </row>
    <row r="169" spans="1:7">
      <c r="A169" t="s">
        <v>150</v>
      </c>
      <c r="B169" s="1">
        <v>45857</v>
      </c>
      <c r="C169" t="s">
        <v>27</v>
      </c>
      <c r="D169" t="s">
        <v>26</v>
      </c>
      <c r="E169" t="s">
        <v>2</v>
      </c>
      <c r="G169" t="s">
        <v>15</v>
      </c>
    </row>
    <row r="170" spans="1:7">
      <c r="A170" t="s">
        <v>149</v>
      </c>
      <c r="B170" s="1">
        <v>46019</v>
      </c>
      <c r="C170" t="s">
        <v>27</v>
      </c>
      <c r="D170" t="s">
        <v>26</v>
      </c>
      <c r="E170" t="s">
        <v>30</v>
      </c>
      <c r="F170" t="s">
        <v>1</v>
      </c>
      <c r="G170" t="s">
        <v>15</v>
      </c>
    </row>
    <row r="171" spans="1:7">
      <c r="A171" t="s">
        <v>148</v>
      </c>
      <c r="B171" s="1">
        <v>45872</v>
      </c>
      <c r="C171" t="s">
        <v>31</v>
      </c>
      <c r="D171" t="s">
        <v>33</v>
      </c>
      <c r="E171" t="s">
        <v>12</v>
      </c>
      <c r="F171" t="s">
        <v>147</v>
      </c>
      <c r="G171" t="s">
        <v>15</v>
      </c>
    </row>
    <row r="172" spans="1:7">
      <c r="A172" t="s">
        <v>146</v>
      </c>
      <c r="B172" s="1">
        <v>46127</v>
      </c>
      <c r="C172" t="s">
        <v>8</v>
      </c>
      <c r="D172" t="s">
        <v>3</v>
      </c>
      <c r="E172" t="s">
        <v>2</v>
      </c>
      <c r="F172" t="s">
        <v>1</v>
      </c>
      <c r="G172" t="s">
        <v>6</v>
      </c>
    </row>
    <row r="173" spans="1:7">
      <c r="A173" t="s">
        <v>145</v>
      </c>
      <c r="B173" s="1">
        <v>46133</v>
      </c>
      <c r="C173" t="s">
        <v>27</v>
      </c>
      <c r="D173" t="s">
        <v>21</v>
      </c>
      <c r="E173" t="s">
        <v>2</v>
      </c>
      <c r="F173" t="s">
        <v>16</v>
      </c>
      <c r="G173" t="s">
        <v>15</v>
      </c>
    </row>
    <row r="174" spans="1:7">
      <c r="A174" t="s">
        <v>144</v>
      </c>
      <c r="B174" s="1">
        <v>45944</v>
      </c>
      <c r="C174" t="s">
        <v>36</v>
      </c>
      <c r="D174" t="s">
        <v>7</v>
      </c>
      <c r="E174" t="s">
        <v>2</v>
      </c>
      <c r="F174" t="s">
        <v>1</v>
      </c>
    </row>
    <row r="175" spans="1:7">
      <c r="A175" t="s">
        <v>143</v>
      </c>
      <c r="B175" s="1">
        <v>45889</v>
      </c>
      <c r="C175" t="s">
        <v>27</v>
      </c>
      <c r="D175" t="s">
        <v>26</v>
      </c>
      <c r="E175" t="s">
        <v>12</v>
      </c>
      <c r="F175" t="s">
        <v>1</v>
      </c>
      <c r="G175" t="s">
        <v>15</v>
      </c>
    </row>
    <row r="176" spans="1:7">
      <c r="A176" t="s">
        <v>142</v>
      </c>
      <c r="B176" s="1">
        <v>45723</v>
      </c>
      <c r="C176" t="s">
        <v>31</v>
      </c>
      <c r="D176" t="s">
        <v>26</v>
      </c>
      <c r="E176" t="s">
        <v>2</v>
      </c>
      <c r="F176" t="s">
        <v>1</v>
      </c>
      <c r="G176" t="s">
        <v>15</v>
      </c>
    </row>
    <row r="177" spans="1:7">
      <c r="A177" t="s">
        <v>141</v>
      </c>
      <c r="B177" s="1"/>
      <c r="C177" t="s">
        <v>27</v>
      </c>
      <c r="D177" t="s">
        <v>7</v>
      </c>
      <c r="E177" t="s">
        <v>12</v>
      </c>
      <c r="F177" t="s">
        <v>11</v>
      </c>
      <c r="G177" t="s">
        <v>15</v>
      </c>
    </row>
    <row r="178" spans="1:7">
      <c r="A178" t="s">
        <v>140</v>
      </c>
      <c r="B178" s="1">
        <v>46167</v>
      </c>
      <c r="C178" t="s">
        <v>31</v>
      </c>
      <c r="D178" t="s">
        <v>7</v>
      </c>
      <c r="E178" t="s">
        <v>12</v>
      </c>
      <c r="F178" t="s">
        <v>16</v>
      </c>
      <c r="G178" t="s">
        <v>15</v>
      </c>
    </row>
    <row r="179" spans="1:7">
      <c r="A179" t="s">
        <v>139</v>
      </c>
      <c r="B179" s="1">
        <v>45664</v>
      </c>
      <c r="C179" t="s">
        <v>22</v>
      </c>
      <c r="D179" t="s">
        <v>3</v>
      </c>
      <c r="E179" t="s">
        <v>12</v>
      </c>
      <c r="F179" t="s">
        <v>16</v>
      </c>
      <c r="G179" t="s">
        <v>15</v>
      </c>
    </row>
    <row r="180" spans="1:7">
      <c r="A180" t="s">
        <v>138</v>
      </c>
      <c r="B180" s="1">
        <v>45924</v>
      </c>
      <c r="C180" t="s">
        <v>27</v>
      </c>
      <c r="D180" t="s">
        <v>3</v>
      </c>
      <c r="E180" t="s">
        <v>12</v>
      </c>
      <c r="G180" t="s">
        <v>15</v>
      </c>
    </row>
    <row r="181" spans="1:7">
      <c r="A181" t="s">
        <v>137</v>
      </c>
      <c r="B181" s="1">
        <v>46051</v>
      </c>
      <c r="D181" t="s">
        <v>7</v>
      </c>
      <c r="E181" t="s">
        <v>12</v>
      </c>
      <c r="F181" t="s">
        <v>11</v>
      </c>
      <c r="G181" t="s">
        <v>6</v>
      </c>
    </row>
    <row r="182" spans="1:7">
      <c r="A182" t="s">
        <v>136</v>
      </c>
      <c r="B182" s="1">
        <v>45877</v>
      </c>
      <c r="C182" t="s">
        <v>27</v>
      </c>
      <c r="D182" t="s">
        <v>3</v>
      </c>
      <c r="E182" t="s">
        <v>2</v>
      </c>
      <c r="F182" t="s">
        <v>1</v>
      </c>
      <c r="G182" t="s">
        <v>15</v>
      </c>
    </row>
    <row r="183" spans="1:7">
      <c r="A183" t="s">
        <v>135</v>
      </c>
      <c r="B183" s="1">
        <v>46203</v>
      </c>
      <c r="C183" t="s">
        <v>36</v>
      </c>
      <c r="D183" t="s">
        <v>26</v>
      </c>
      <c r="F183" t="s">
        <v>1</v>
      </c>
      <c r="G183" t="s">
        <v>6</v>
      </c>
    </row>
    <row r="184" spans="1:7">
      <c r="A184" t="s">
        <v>134</v>
      </c>
      <c r="B184" s="1">
        <v>46215</v>
      </c>
      <c r="C184" t="s">
        <v>8</v>
      </c>
      <c r="D184" t="s">
        <v>3</v>
      </c>
      <c r="E184" t="s">
        <v>2</v>
      </c>
      <c r="F184" t="s">
        <v>16</v>
      </c>
      <c r="G184" t="s">
        <v>6</v>
      </c>
    </row>
    <row r="185" spans="1:7">
      <c r="A185" t="s">
        <v>133</v>
      </c>
      <c r="B185" s="1">
        <v>46155</v>
      </c>
      <c r="C185" t="s">
        <v>4</v>
      </c>
      <c r="D185" t="s">
        <v>7</v>
      </c>
      <c r="E185" t="s">
        <v>12</v>
      </c>
      <c r="F185" t="s">
        <v>1</v>
      </c>
      <c r="G185" t="s">
        <v>10</v>
      </c>
    </row>
    <row r="186" spans="1:7">
      <c r="A186" t="s">
        <v>132</v>
      </c>
      <c r="B186" s="1">
        <v>46178</v>
      </c>
      <c r="C186" t="s">
        <v>8</v>
      </c>
      <c r="D186" t="s">
        <v>21</v>
      </c>
      <c r="E186" t="s">
        <v>2</v>
      </c>
      <c r="F186" t="s">
        <v>11</v>
      </c>
      <c r="G186" t="s">
        <v>6</v>
      </c>
    </row>
    <row r="187" spans="1:7">
      <c r="A187" t="s">
        <v>131</v>
      </c>
      <c r="B187" s="1">
        <v>45772</v>
      </c>
      <c r="C187" t="s">
        <v>27</v>
      </c>
      <c r="D187" t="s">
        <v>7</v>
      </c>
      <c r="E187" t="s">
        <v>2</v>
      </c>
      <c r="F187" t="s">
        <v>1</v>
      </c>
      <c r="G187" t="s">
        <v>15</v>
      </c>
    </row>
    <row r="188" spans="1:7">
      <c r="A188" t="s">
        <v>130</v>
      </c>
      <c r="B188" s="1">
        <v>45848</v>
      </c>
      <c r="C188" t="s">
        <v>8</v>
      </c>
      <c r="D188" t="s">
        <v>3</v>
      </c>
      <c r="E188" t="s">
        <v>12</v>
      </c>
      <c r="F188" t="s">
        <v>1</v>
      </c>
      <c r="G188" t="s">
        <v>6</v>
      </c>
    </row>
    <row r="189" spans="1:7">
      <c r="A189" t="s">
        <v>129</v>
      </c>
      <c r="B189" s="1">
        <v>46118</v>
      </c>
      <c r="C189" t="s">
        <v>31</v>
      </c>
      <c r="D189" t="s">
        <v>3</v>
      </c>
      <c r="E189" t="s">
        <v>2</v>
      </c>
      <c r="F189" t="s">
        <v>11</v>
      </c>
      <c r="G189" t="s">
        <v>15</v>
      </c>
    </row>
    <row r="190" spans="1:7">
      <c r="A190" t="s">
        <v>85</v>
      </c>
      <c r="B190" s="1">
        <v>46145</v>
      </c>
      <c r="C190" t="s">
        <v>31</v>
      </c>
      <c r="D190" t="s">
        <v>7</v>
      </c>
      <c r="E190" t="s">
        <v>2</v>
      </c>
      <c r="F190" t="s">
        <v>47</v>
      </c>
      <c r="G190" t="s">
        <v>15</v>
      </c>
    </row>
    <row r="191" spans="1:7">
      <c r="A191" t="s">
        <v>128</v>
      </c>
      <c r="B191" s="1">
        <v>45915</v>
      </c>
      <c r="C191" t="s">
        <v>22</v>
      </c>
      <c r="D191" t="s">
        <v>26</v>
      </c>
      <c r="E191" t="s">
        <v>2</v>
      </c>
      <c r="F191" t="s">
        <v>11</v>
      </c>
      <c r="G191" t="s">
        <v>15</v>
      </c>
    </row>
    <row r="192" spans="1:7">
      <c r="A192" t="s">
        <v>127</v>
      </c>
      <c r="B192" s="1"/>
      <c r="C192" t="s">
        <v>36</v>
      </c>
      <c r="D192" t="s">
        <v>21</v>
      </c>
      <c r="E192" t="s">
        <v>2</v>
      </c>
      <c r="F192" t="s">
        <v>1</v>
      </c>
      <c r="G192" t="s">
        <v>6</v>
      </c>
    </row>
    <row r="193" spans="1:7">
      <c r="A193" t="s">
        <v>126</v>
      </c>
      <c r="B193" s="1">
        <v>45926</v>
      </c>
      <c r="C193" t="s">
        <v>36</v>
      </c>
      <c r="D193" t="s">
        <v>3</v>
      </c>
      <c r="E193" t="s">
        <v>2</v>
      </c>
      <c r="F193" t="s">
        <v>16</v>
      </c>
      <c r="G193" t="s">
        <v>6</v>
      </c>
    </row>
    <row r="194" spans="1:7">
      <c r="A194" t="s">
        <v>125</v>
      </c>
      <c r="B194" s="1">
        <v>46120</v>
      </c>
      <c r="D194" t="s">
        <v>3</v>
      </c>
      <c r="E194" t="s">
        <v>30</v>
      </c>
      <c r="F194" t="s">
        <v>1</v>
      </c>
      <c r="G194" t="s">
        <v>10</v>
      </c>
    </row>
    <row r="195" spans="1:7">
      <c r="A195" t="s">
        <v>124</v>
      </c>
      <c r="B195" s="1"/>
      <c r="C195" t="s">
        <v>4</v>
      </c>
      <c r="D195" t="s">
        <v>13</v>
      </c>
      <c r="E195" t="s">
        <v>2</v>
      </c>
      <c r="F195" t="s">
        <v>16</v>
      </c>
      <c r="G195" t="s">
        <v>10</v>
      </c>
    </row>
    <row r="196" spans="1:7">
      <c r="A196" t="s">
        <v>123</v>
      </c>
      <c r="B196" s="1">
        <v>45767</v>
      </c>
      <c r="C196" t="s">
        <v>31</v>
      </c>
      <c r="D196" t="s">
        <v>26</v>
      </c>
      <c r="E196" t="s">
        <v>2</v>
      </c>
      <c r="F196" t="s">
        <v>16</v>
      </c>
      <c r="G196" t="s">
        <v>15</v>
      </c>
    </row>
    <row r="197" spans="1:7">
      <c r="B197" s="1">
        <v>46204</v>
      </c>
      <c r="C197" t="s">
        <v>27</v>
      </c>
      <c r="D197" t="s">
        <v>7</v>
      </c>
      <c r="E197" t="s">
        <v>2</v>
      </c>
      <c r="F197" t="s">
        <v>16</v>
      </c>
      <c r="G197" t="s">
        <v>15</v>
      </c>
    </row>
    <row r="198" spans="1:7">
      <c r="A198" t="s">
        <v>122</v>
      </c>
      <c r="B198" s="1">
        <v>45950</v>
      </c>
      <c r="C198" t="s">
        <v>8</v>
      </c>
      <c r="D198" t="s">
        <v>7</v>
      </c>
      <c r="E198" t="s">
        <v>2</v>
      </c>
      <c r="F198" t="s">
        <v>1</v>
      </c>
      <c r="G198" t="s">
        <v>6</v>
      </c>
    </row>
    <row r="199" spans="1:7">
      <c r="A199" t="s">
        <v>121</v>
      </c>
      <c r="B199" s="1">
        <v>46088</v>
      </c>
      <c r="C199" t="s">
        <v>31</v>
      </c>
      <c r="D199" t="s">
        <v>26</v>
      </c>
      <c r="E199" t="s">
        <v>120</v>
      </c>
      <c r="F199" t="s">
        <v>47</v>
      </c>
      <c r="G199" t="s">
        <v>15</v>
      </c>
    </row>
    <row r="200" spans="1:7">
      <c r="A200" t="s">
        <v>119</v>
      </c>
      <c r="B200" s="1">
        <v>46060</v>
      </c>
      <c r="C200" t="s">
        <v>36</v>
      </c>
      <c r="D200" t="s">
        <v>3</v>
      </c>
      <c r="E200" t="s">
        <v>2</v>
      </c>
      <c r="F200" t="s">
        <v>16</v>
      </c>
      <c r="G200" t="s">
        <v>6</v>
      </c>
    </row>
    <row r="201" spans="1:7">
      <c r="A201" t="s">
        <v>118</v>
      </c>
      <c r="B201" s="1">
        <v>46055</v>
      </c>
      <c r="C201" t="s">
        <v>36</v>
      </c>
      <c r="D201" t="s">
        <v>7</v>
      </c>
      <c r="E201" t="s">
        <v>12</v>
      </c>
      <c r="F201" t="s">
        <v>16</v>
      </c>
      <c r="G201" t="s">
        <v>6</v>
      </c>
    </row>
    <row r="202" spans="1:7">
      <c r="A202" t="s">
        <v>117</v>
      </c>
      <c r="B202" s="1">
        <v>45850</v>
      </c>
      <c r="C202" t="s">
        <v>27</v>
      </c>
      <c r="D202" t="s">
        <v>7</v>
      </c>
      <c r="E202" t="s">
        <v>30</v>
      </c>
      <c r="F202" t="s">
        <v>1</v>
      </c>
      <c r="G202" t="s">
        <v>15</v>
      </c>
    </row>
    <row r="203" spans="1:7">
      <c r="A203" t="s">
        <v>116</v>
      </c>
      <c r="B203" s="1">
        <v>45781</v>
      </c>
      <c r="C203" t="s">
        <v>31</v>
      </c>
      <c r="E203" t="s">
        <v>2</v>
      </c>
      <c r="F203" t="s">
        <v>1</v>
      </c>
      <c r="G203" t="s">
        <v>15</v>
      </c>
    </row>
    <row r="204" spans="1:7">
      <c r="A204" t="s">
        <v>115</v>
      </c>
      <c r="B204" s="1">
        <v>45761</v>
      </c>
      <c r="C204" t="s">
        <v>27</v>
      </c>
      <c r="D204" t="s">
        <v>7</v>
      </c>
      <c r="E204" t="s">
        <v>2</v>
      </c>
      <c r="F204" t="s">
        <v>16</v>
      </c>
      <c r="G204" t="s">
        <v>15</v>
      </c>
    </row>
    <row r="205" spans="1:7">
      <c r="A205" t="s">
        <v>114</v>
      </c>
      <c r="B205" s="1">
        <v>45754</v>
      </c>
      <c r="C205" t="s">
        <v>36</v>
      </c>
      <c r="D205" t="s">
        <v>13</v>
      </c>
      <c r="E205" t="s">
        <v>2</v>
      </c>
      <c r="F205" t="s">
        <v>1</v>
      </c>
      <c r="G205" t="s">
        <v>6</v>
      </c>
    </row>
    <row r="206" spans="1:7">
      <c r="A206" t="s">
        <v>113</v>
      </c>
      <c r="B206" s="1">
        <v>45884</v>
      </c>
      <c r="C206" t="s">
        <v>4</v>
      </c>
      <c r="D206" t="s">
        <v>7</v>
      </c>
      <c r="F206" t="s">
        <v>11</v>
      </c>
      <c r="G206" t="s">
        <v>10</v>
      </c>
    </row>
    <row r="207" spans="1:7">
      <c r="A207" t="s">
        <v>112</v>
      </c>
      <c r="B207" s="1">
        <v>45807</v>
      </c>
      <c r="C207" t="s">
        <v>27</v>
      </c>
      <c r="D207" t="s">
        <v>13</v>
      </c>
      <c r="E207" t="s">
        <v>2</v>
      </c>
      <c r="F207" t="s">
        <v>1</v>
      </c>
      <c r="G207" t="s">
        <v>15</v>
      </c>
    </row>
    <row r="208" spans="1:7">
      <c r="A208" t="s">
        <v>111</v>
      </c>
      <c r="B208" s="1">
        <v>45933</v>
      </c>
      <c r="C208" t="s">
        <v>8</v>
      </c>
      <c r="D208" t="s">
        <v>26</v>
      </c>
      <c r="F208" t="s">
        <v>11</v>
      </c>
      <c r="G208" t="s">
        <v>6</v>
      </c>
    </row>
    <row r="209" spans="1:7">
      <c r="A209" t="s">
        <v>110</v>
      </c>
      <c r="B209" s="1">
        <v>46124</v>
      </c>
      <c r="C209" t="s">
        <v>27</v>
      </c>
      <c r="D209" t="s">
        <v>3</v>
      </c>
      <c r="E209" t="s">
        <v>2</v>
      </c>
      <c r="F209" t="s">
        <v>1</v>
      </c>
      <c r="G209" t="s">
        <v>15</v>
      </c>
    </row>
    <row r="210" spans="1:7">
      <c r="A210" t="s">
        <v>109</v>
      </c>
      <c r="B210" s="1" t="s">
        <v>0</v>
      </c>
      <c r="C210" t="s">
        <v>36</v>
      </c>
      <c r="D210" t="s">
        <v>3</v>
      </c>
      <c r="E210" t="s">
        <v>30</v>
      </c>
      <c r="F210" t="s">
        <v>11</v>
      </c>
      <c r="G210" t="s">
        <v>6</v>
      </c>
    </row>
    <row r="211" spans="1:7">
      <c r="A211" t="s">
        <v>108</v>
      </c>
      <c r="B211" s="1">
        <v>45723</v>
      </c>
      <c r="C211" t="s">
        <v>31</v>
      </c>
      <c r="D211" t="s">
        <v>26</v>
      </c>
      <c r="E211" t="s">
        <v>12</v>
      </c>
      <c r="F211" t="s">
        <v>16</v>
      </c>
      <c r="G211" t="s">
        <v>15</v>
      </c>
    </row>
    <row r="212" spans="1:7">
      <c r="A212" t="s">
        <v>107</v>
      </c>
      <c r="B212" s="1">
        <v>46073</v>
      </c>
      <c r="C212" t="s">
        <v>31</v>
      </c>
      <c r="D212" t="s">
        <v>26</v>
      </c>
      <c r="E212" t="s">
        <v>12</v>
      </c>
      <c r="F212" t="s">
        <v>1</v>
      </c>
      <c r="G212" t="s">
        <v>15</v>
      </c>
    </row>
    <row r="213" spans="1:7">
      <c r="A213" t="s">
        <v>106</v>
      </c>
      <c r="B213" s="1">
        <v>46223</v>
      </c>
      <c r="C213" t="s">
        <v>4</v>
      </c>
      <c r="D213" t="s">
        <v>33</v>
      </c>
      <c r="E213" t="s">
        <v>2</v>
      </c>
      <c r="F213" t="s">
        <v>1</v>
      </c>
      <c r="G213" t="s">
        <v>10</v>
      </c>
    </row>
    <row r="214" spans="1:7">
      <c r="A214" t="s">
        <v>105</v>
      </c>
      <c r="B214" s="1">
        <v>46230</v>
      </c>
      <c r="C214" t="s">
        <v>31</v>
      </c>
      <c r="D214" t="s">
        <v>26</v>
      </c>
      <c r="E214" t="s">
        <v>2</v>
      </c>
      <c r="F214" t="s">
        <v>1</v>
      </c>
      <c r="G214" t="s">
        <v>15</v>
      </c>
    </row>
    <row r="215" spans="1:7">
      <c r="A215" t="s">
        <v>104</v>
      </c>
      <c r="B215" s="1">
        <v>46035</v>
      </c>
      <c r="C215" t="s">
        <v>31</v>
      </c>
      <c r="D215" t="s">
        <v>3</v>
      </c>
      <c r="E215" t="s">
        <v>12</v>
      </c>
      <c r="F215" t="s">
        <v>1</v>
      </c>
      <c r="G215" t="s">
        <v>15</v>
      </c>
    </row>
    <row r="216" spans="1:7">
      <c r="A216" t="s">
        <v>103</v>
      </c>
      <c r="B216" s="1">
        <v>46152</v>
      </c>
      <c r="C216" t="s">
        <v>8</v>
      </c>
      <c r="D216" t="s">
        <v>21</v>
      </c>
      <c r="E216" t="s">
        <v>2</v>
      </c>
      <c r="F216" t="s">
        <v>47</v>
      </c>
      <c r="G216" t="s">
        <v>6</v>
      </c>
    </row>
    <row r="217" spans="1:7">
      <c r="A217" t="s">
        <v>102</v>
      </c>
      <c r="B217" s="1">
        <v>46198</v>
      </c>
      <c r="C217" t="s">
        <v>27</v>
      </c>
      <c r="D217" t="s">
        <v>13</v>
      </c>
      <c r="E217" t="s">
        <v>30</v>
      </c>
      <c r="F217" t="s">
        <v>11</v>
      </c>
      <c r="G217" t="s">
        <v>15</v>
      </c>
    </row>
    <row r="218" spans="1:7">
      <c r="B218" s="1">
        <v>46063</v>
      </c>
      <c r="C218" t="s">
        <v>8</v>
      </c>
      <c r="D218" t="s">
        <v>33</v>
      </c>
      <c r="E218" t="s">
        <v>12</v>
      </c>
      <c r="F218" t="s">
        <v>11</v>
      </c>
      <c r="G218" t="s">
        <v>6</v>
      </c>
    </row>
    <row r="219" spans="1:7">
      <c r="A219" t="s">
        <v>101</v>
      </c>
      <c r="B219" s="1">
        <v>45833</v>
      </c>
      <c r="C219" t="s">
        <v>31</v>
      </c>
      <c r="D219" t="s">
        <v>3</v>
      </c>
      <c r="E219" t="s">
        <v>12</v>
      </c>
      <c r="F219" t="s">
        <v>16</v>
      </c>
      <c r="G219" t="s">
        <v>15</v>
      </c>
    </row>
    <row r="220" spans="1:7">
      <c r="A220" t="s">
        <v>100</v>
      </c>
      <c r="B220" s="1">
        <v>46074</v>
      </c>
      <c r="C220" t="s">
        <v>31</v>
      </c>
      <c r="D220" t="s">
        <v>7</v>
      </c>
      <c r="E220" t="s">
        <v>2</v>
      </c>
      <c r="F220" t="s">
        <v>1</v>
      </c>
      <c r="G220" t="s">
        <v>15</v>
      </c>
    </row>
    <row r="221" spans="1:7">
      <c r="A221" t="s">
        <v>99</v>
      </c>
      <c r="B221" s="1">
        <v>46108</v>
      </c>
      <c r="C221" t="s">
        <v>31</v>
      </c>
      <c r="D221" t="s">
        <v>13</v>
      </c>
      <c r="E221" t="s">
        <v>30</v>
      </c>
      <c r="F221" t="s">
        <v>11</v>
      </c>
      <c r="G221" t="s">
        <v>15</v>
      </c>
    </row>
    <row r="222" spans="1:7">
      <c r="A222" t="s">
        <v>98</v>
      </c>
      <c r="B222" s="1">
        <v>45736</v>
      </c>
      <c r="C222" t="s">
        <v>8</v>
      </c>
      <c r="D222" t="s">
        <v>33</v>
      </c>
      <c r="E222" t="s">
        <v>12</v>
      </c>
      <c r="F222" t="s">
        <v>11</v>
      </c>
      <c r="G222" t="s">
        <v>6</v>
      </c>
    </row>
    <row r="223" spans="1:7">
      <c r="A223" t="s">
        <v>97</v>
      </c>
      <c r="B223" s="1">
        <v>45867</v>
      </c>
      <c r="C223" t="s">
        <v>22</v>
      </c>
      <c r="D223" t="s">
        <v>26</v>
      </c>
      <c r="E223" t="s">
        <v>12</v>
      </c>
      <c r="F223" t="s">
        <v>1</v>
      </c>
      <c r="G223" t="s">
        <v>96</v>
      </c>
    </row>
    <row r="224" spans="1:7">
      <c r="A224" t="s">
        <v>95</v>
      </c>
      <c r="B224" s="1">
        <v>46104</v>
      </c>
      <c r="C224" t="s">
        <v>8</v>
      </c>
      <c r="D224" t="s">
        <v>26</v>
      </c>
      <c r="E224" t="s">
        <v>2</v>
      </c>
    </row>
    <row r="225" spans="1:7">
      <c r="A225" t="s">
        <v>94</v>
      </c>
      <c r="B225" s="1">
        <v>45945</v>
      </c>
      <c r="C225" t="s">
        <v>4</v>
      </c>
      <c r="D225" t="s">
        <v>33</v>
      </c>
      <c r="E225" t="s">
        <v>2</v>
      </c>
      <c r="F225" t="s">
        <v>1</v>
      </c>
      <c r="G225" t="s">
        <v>10</v>
      </c>
    </row>
    <row r="226" spans="1:7">
      <c r="A226" t="s">
        <v>93</v>
      </c>
      <c r="B226" s="1">
        <v>46050</v>
      </c>
      <c r="C226" t="s">
        <v>36</v>
      </c>
      <c r="D226" t="s">
        <v>33</v>
      </c>
      <c r="E226" t="s">
        <v>2</v>
      </c>
      <c r="F226" t="s">
        <v>11</v>
      </c>
      <c r="G226" t="s">
        <v>6</v>
      </c>
    </row>
    <row r="227" spans="1:7">
      <c r="A227" t="s">
        <v>92</v>
      </c>
      <c r="B227" s="1">
        <v>46043</v>
      </c>
      <c r="C227" t="s">
        <v>36</v>
      </c>
      <c r="D227" t="s">
        <v>21</v>
      </c>
      <c r="E227" t="s">
        <v>2</v>
      </c>
      <c r="F227" t="s">
        <v>47</v>
      </c>
      <c r="G227" t="s">
        <v>6</v>
      </c>
    </row>
    <row r="228" spans="1:7">
      <c r="A228" t="s">
        <v>91</v>
      </c>
      <c r="B228" s="1">
        <v>46056</v>
      </c>
      <c r="C228" t="s">
        <v>31</v>
      </c>
      <c r="D228" t="s">
        <v>7</v>
      </c>
      <c r="E228" t="s">
        <v>2</v>
      </c>
      <c r="F228" t="s">
        <v>16</v>
      </c>
      <c r="G228" t="s">
        <v>15</v>
      </c>
    </row>
    <row r="229" spans="1:7">
      <c r="A229" t="s">
        <v>90</v>
      </c>
      <c r="B229" s="1">
        <v>45824</v>
      </c>
      <c r="C229" t="s">
        <v>27</v>
      </c>
      <c r="D229" t="s">
        <v>7</v>
      </c>
      <c r="E229" t="s">
        <v>12</v>
      </c>
      <c r="F229" t="s">
        <v>16</v>
      </c>
      <c r="G229" t="s">
        <v>15</v>
      </c>
    </row>
    <row r="230" spans="1:7">
      <c r="A230" t="s">
        <v>89</v>
      </c>
      <c r="B230" s="1">
        <v>45714</v>
      </c>
      <c r="C230" t="s">
        <v>27</v>
      </c>
      <c r="E230" t="s">
        <v>2</v>
      </c>
      <c r="F230" t="s">
        <v>11</v>
      </c>
      <c r="G230" t="s">
        <v>0</v>
      </c>
    </row>
    <row r="231" spans="1:7">
      <c r="B231" s="1">
        <v>45748</v>
      </c>
      <c r="C231" t="s">
        <v>22</v>
      </c>
      <c r="D231" t="s">
        <v>13</v>
      </c>
      <c r="E231" t="s">
        <v>12</v>
      </c>
      <c r="F231" t="s">
        <v>11</v>
      </c>
      <c r="G231" t="s">
        <v>15</v>
      </c>
    </row>
    <row r="232" spans="1:7">
      <c r="A232" t="s">
        <v>88</v>
      </c>
      <c r="B232" s="1">
        <v>45960</v>
      </c>
      <c r="C232" t="s">
        <v>27</v>
      </c>
      <c r="D232" t="s">
        <v>26</v>
      </c>
      <c r="E232" t="s">
        <v>12</v>
      </c>
      <c r="F232" t="s">
        <v>1</v>
      </c>
      <c r="G232" t="s">
        <v>15</v>
      </c>
    </row>
    <row r="233" spans="1:7">
      <c r="A233" t="s">
        <v>87</v>
      </c>
      <c r="B233" s="1">
        <v>46091</v>
      </c>
      <c r="C233" t="s">
        <v>36</v>
      </c>
      <c r="D233" t="s">
        <v>3</v>
      </c>
      <c r="E233" t="s">
        <v>12</v>
      </c>
      <c r="G233" t="s">
        <v>0</v>
      </c>
    </row>
    <row r="234" spans="1:7">
      <c r="A234" t="s">
        <v>86</v>
      </c>
      <c r="B234" s="1">
        <v>45988</v>
      </c>
      <c r="C234" t="s">
        <v>27</v>
      </c>
      <c r="D234" t="s">
        <v>3</v>
      </c>
      <c r="E234" t="s">
        <v>2</v>
      </c>
      <c r="G234" t="s">
        <v>15</v>
      </c>
    </row>
    <row r="235" spans="1:7">
      <c r="A235" t="s">
        <v>45</v>
      </c>
      <c r="B235" s="1">
        <v>45983</v>
      </c>
      <c r="C235" t="s">
        <v>31</v>
      </c>
      <c r="D235" t="s">
        <v>21</v>
      </c>
      <c r="E235" t="s">
        <v>12</v>
      </c>
      <c r="F235" t="s">
        <v>1</v>
      </c>
      <c r="G235" t="s">
        <v>15</v>
      </c>
    </row>
    <row r="236" spans="1:7">
      <c r="A236" t="s">
        <v>85</v>
      </c>
      <c r="B236" s="1">
        <v>46145</v>
      </c>
      <c r="C236" t="s">
        <v>31</v>
      </c>
      <c r="D236" t="s">
        <v>7</v>
      </c>
      <c r="E236" t="s">
        <v>2</v>
      </c>
      <c r="F236" t="s">
        <v>47</v>
      </c>
      <c r="G236" t="s">
        <v>15</v>
      </c>
    </row>
    <row r="237" spans="1:7">
      <c r="A237" t="s">
        <v>84</v>
      </c>
      <c r="B237" s="1">
        <v>45997</v>
      </c>
      <c r="C237" t="s">
        <v>36</v>
      </c>
      <c r="E237" t="s">
        <v>2</v>
      </c>
      <c r="F237" t="s">
        <v>11</v>
      </c>
      <c r="G237" t="s">
        <v>6</v>
      </c>
    </row>
    <row r="238" spans="1:7">
      <c r="A238" t="s">
        <v>83</v>
      </c>
      <c r="B238" s="1">
        <v>46157</v>
      </c>
      <c r="D238" t="s">
        <v>33</v>
      </c>
      <c r="E238" t="s">
        <v>2</v>
      </c>
      <c r="F238" t="s">
        <v>1</v>
      </c>
      <c r="G238" t="s">
        <v>15</v>
      </c>
    </row>
    <row r="239" spans="1:7">
      <c r="A239" t="s">
        <v>82</v>
      </c>
      <c r="B239" s="1">
        <v>45830</v>
      </c>
      <c r="C239" t="s">
        <v>27</v>
      </c>
      <c r="D239" t="s">
        <v>21</v>
      </c>
      <c r="E239" t="s">
        <v>2</v>
      </c>
      <c r="F239" t="s">
        <v>1</v>
      </c>
      <c r="G239" t="s">
        <v>15</v>
      </c>
    </row>
    <row r="240" spans="1:7">
      <c r="A240" t="s">
        <v>81</v>
      </c>
      <c r="B240" s="1">
        <v>45715</v>
      </c>
      <c r="C240" t="s">
        <v>27</v>
      </c>
      <c r="E240" t="s">
        <v>2</v>
      </c>
      <c r="F240" t="s">
        <v>47</v>
      </c>
      <c r="G240" t="s">
        <v>15</v>
      </c>
    </row>
    <row r="241" spans="1:7">
      <c r="A241" t="s">
        <v>80</v>
      </c>
      <c r="B241" s="1">
        <v>45736</v>
      </c>
      <c r="C241" t="s">
        <v>36</v>
      </c>
      <c r="D241" t="s">
        <v>33</v>
      </c>
      <c r="E241" t="s">
        <v>2</v>
      </c>
      <c r="F241" t="s">
        <v>1</v>
      </c>
      <c r="G241" t="s">
        <v>6</v>
      </c>
    </row>
    <row r="242" spans="1:7">
      <c r="A242" t="s">
        <v>79</v>
      </c>
      <c r="B242" s="1">
        <v>45984</v>
      </c>
      <c r="C242" t="s">
        <v>36</v>
      </c>
      <c r="D242" t="s">
        <v>3</v>
      </c>
      <c r="E242" t="s">
        <v>2</v>
      </c>
      <c r="F242" t="s">
        <v>1</v>
      </c>
      <c r="G242" t="s">
        <v>6</v>
      </c>
    </row>
    <row r="243" spans="1:7">
      <c r="A243" t="s">
        <v>78</v>
      </c>
      <c r="B243" s="1">
        <v>45803</v>
      </c>
      <c r="C243" t="s">
        <v>8</v>
      </c>
      <c r="D243" t="s">
        <v>7</v>
      </c>
      <c r="F243" t="s">
        <v>16</v>
      </c>
      <c r="G243" t="s">
        <v>6</v>
      </c>
    </row>
    <row r="244" spans="1:7">
      <c r="A244" t="s">
        <v>77</v>
      </c>
      <c r="B244" s="1">
        <v>45755</v>
      </c>
      <c r="C244" t="s">
        <v>4</v>
      </c>
      <c r="D244" t="s">
        <v>21</v>
      </c>
      <c r="E244" t="s">
        <v>2</v>
      </c>
      <c r="F244" t="s">
        <v>1</v>
      </c>
      <c r="G244" t="s">
        <v>10</v>
      </c>
    </row>
    <row r="245" spans="1:7">
      <c r="A245" t="s">
        <v>76</v>
      </c>
      <c r="B245" s="1">
        <v>46084</v>
      </c>
      <c r="C245" t="s">
        <v>36</v>
      </c>
      <c r="D245" t="s">
        <v>3</v>
      </c>
      <c r="E245" t="s">
        <v>2</v>
      </c>
      <c r="F245" t="s">
        <v>16</v>
      </c>
      <c r="G245" t="s">
        <v>6</v>
      </c>
    </row>
    <row r="246" spans="1:7">
      <c r="A246" t="s">
        <v>75</v>
      </c>
      <c r="B246" s="1">
        <v>45860</v>
      </c>
      <c r="C246" t="s">
        <v>22</v>
      </c>
      <c r="D246" t="s">
        <v>7</v>
      </c>
      <c r="E246" t="s">
        <v>12</v>
      </c>
      <c r="F246" t="s">
        <v>11</v>
      </c>
      <c r="G246" t="s">
        <v>15</v>
      </c>
    </row>
    <row r="247" spans="1:7">
      <c r="A247" t="s">
        <v>74</v>
      </c>
      <c r="B247" s="1">
        <v>46081</v>
      </c>
      <c r="C247" t="s">
        <v>8</v>
      </c>
      <c r="D247" t="s">
        <v>7</v>
      </c>
      <c r="E247" t="s">
        <v>12</v>
      </c>
      <c r="F247" t="s">
        <v>11</v>
      </c>
      <c r="G247" t="s">
        <v>6</v>
      </c>
    </row>
    <row r="248" spans="1:7">
      <c r="B248" s="1">
        <v>46161</v>
      </c>
      <c r="C248" t="s">
        <v>4</v>
      </c>
      <c r="D248" t="s">
        <v>3</v>
      </c>
      <c r="E248" t="s">
        <v>12</v>
      </c>
      <c r="F248" t="s">
        <v>16</v>
      </c>
      <c r="G248" t="s">
        <v>10</v>
      </c>
    </row>
    <row r="249" spans="1:7">
      <c r="A249" t="s">
        <v>73</v>
      </c>
      <c r="B249" s="1">
        <v>45733</v>
      </c>
      <c r="C249" t="s">
        <v>36</v>
      </c>
      <c r="D249" t="s">
        <v>3</v>
      </c>
      <c r="E249" t="s">
        <v>2</v>
      </c>
      <c r="F249" t="s">
        <v>11</v>
      </c>
      <c r="G249" t="s">
        <v>6</v>
      </c>
    </row>
    <row r="250" spans="1:7">
      <c r="A250" t="s">
        <v>72</v>
      </c>
      <c r="B250" s="1">
        <v>46103</v>
      </c>
      <c r="C250" t="s">
        <v>31</v>
      </c>
      <c r="D250" t="s">
        <v>33</v>
      </c>
      <c r="E250" t="s">
        <v>2</v>
      </c>
      <c r="F250" t="s">
        <v>1</v>
      </c>
      <c r="G250" t="s">
        <v>15</v>
      </c>
    </row>
    <row r="251" spans="1:7">
      <c r="A251" t="s">
        <v>71</v>
      </c>
      <c r="B251" s="1">
        <v>46186</v>
      </c>
      <c r="C251" t="s">
        <v>4</v>
      </c>
      <c r="D251" t="s">
        <v>13</v>
      </c>
      <c r="E251" t="s">
        <v>2</v>
      </c>
      <c r="F251" t="s">
        <v>47</v>
      </c>
      <c r="G251" t="s">
        <v>10</v>
      </c>
    </row>
    <row r="252" spans="1:7">
      <c r="A252" t="s">
        <v>70</v>
      </c>
      <c r="B252" s="1">
        <v>45817</v>
      </c>
      <c r="C252" t="s">
        <v>27</v>
      </c>
      <c r="D252" t="s">
        <v>21</v>
      </c>
      <c r="E252" t="s">
        <v>2</v>
      </c>
      <c r="F252" t="s">
        <v>11</v>
      </c>
      <c r="G252" t="s">
        <v>55</v>
      </c>
    </row>
    <row r="253" spans="1:7">
      <c r="A253" t="s">
        <v>69</v>
      </c>
      <c r="B253" s="1">
        <v>45667</v>
      </c>
      <c r="C253" t="s">
        <v>27</v>
      </c>
      <c r="D253" t="s">
        <v>33</v>
      </c>
      <c r="E253" t="s">
        <v>2</v>
      </c>
      <c r="F253" t="s">
        <v>1</v>
      </c>
      <c r="G253" t="s">
        <v>15</v>
      </c>
    </row>
    <row r="254" spans="1:7">
      <c r="A254" t="s">
        <v>68</v>
      </c>
      <c r="B254" s="1">
        <v>46055</v>
      </c>
      <c r="C254" t="s">
        <v>36</v>
      </c>
      <c r="D254" t="s">
        <v>3</v>
      </c>
      <c r="E254" t="s">
        <v>2</v>
      </c>
      <c r="F254" t="s">
        <v>1</v>
      </c>
      <c r="G254" t="s">
        <v>6</v>
      </c>
    </row>
    <row r="255" spans="1:7">
      <c r="A255" t="s">
        <v>67</v>
      </c>
      <c r="B255" s="1">
        <v>45876</v>
      </c>
      <c r="C255" t="s">
        <v>36</v>
      </c>
      <c r="D255" t="s">
        <v>3</v>
      </c>
      <c r="E255" t="s">
        <v>12</v>
      </c>
      <c r="F255" t="s">
        <v>16</v>
      </c>
      <c r="G255" t="s">
        <v>6</v>
      </c>
    </row>
    <row r="256" spans="1:7">
      <c r="A256" t="s">
        <v>66</v>
      </c>
      <c r="B256" s="1">
        <v>46123</v>
      </c>
      <c r="C256" t="s">
        <v>36</v>
      </c>
      <c r="D256" t="s">
        <v>33</v>
      </c>
      <c r="E256" t="s">
        <v>12</v>
      </c>
      <c r="F256" t="s">
        <v>1</v>
      </c>
      <c r="G256" t="s">
        <v>6</v>
      </c>
    </row>
    <row r="257" spans="1:7">
      <c r="A257" t="s">
        <v>65</v>
      </c>
      <c r="B257" s="1">
        <v>46087</v>
      </c>
      <c r="C257" t="s">
        <v>4</v>
      </c>
      <c r="D257" t="s">
        <v>3</v>
      </c>
      <c r="E257" t="s">
        <v>2</v>
      </c>
      <c r="F257" t="s">
        <v>1</v>
      </c>
      <c r="G257" t="s">
        <v>10</v>
      </c>
    </row>
    <row r="258" spans="1:7">
      <c r="A258" t="s">
        <v>64</v>
      </c>
      <c r="B258" s="1">
        <v>46044</v>
      </c>
      <c r="C258" t="s">
        <v>8</v>
      </c>
      <c r="D258" t="s">
        <v>3</v>
      </c>
      <c r="E258" t="s">
        <v>2</v>
      </c>
      <c r="F258" t="s">
        <v>1</v>
      </c>
      <c r="G258" t="s">
        <v>6</v>
      </c>
    </row>
    <row r="259" spans="1:7">
      <c r="A259" t="s">
        <v>63</v>
      </c>
      <c r="B259" s="1">
        <v>45746</v>
      </c>
      <c r="C259" t="s">
        <v>27</v>
      </c>
      <c r="D259" t="s">
        <v>3</v>
      </c>
      <c r="F259" t="s">
        <v>1</v>
      </c>
      <c r="G259" t="s">
        <v>15</v>
      </c>
    </row>
    <row r="260" spans="1:7">
      <c r="A260" t="s">
        <v>62</v>
      </c>
      <c r="B260" s="1">
        <v>45858</v>
      </c>
      <c r="C260" t="s">
        <v>31</v>
      </c>
      <c r="D260" t="s">
        <v>26</v>
      </c>
      <c r="E260" t="s">
        <v>2</v>
      </c>
      <c r="F260" t="s">
        <v>16</v>
      </c>
      <c r="G260" t="s">
        <v>15</v>
      </c>
    </row>
    <row r="261" spans="1:7">
      <c r="A261" t="s">
        <v>61</v>
      </c>
      <c r="B261" s="1">
        <v>46149</v>
      </c>
      <c r="C261" t="s">
        <v>27</v>
      </c>
      <c r="D261" t="s">
        <v>7</v>
      </c>
      <c r="E261" t="s">
        <v>2</v>
      </c>
      <c r="F261" t="s">
        <v>11</v>
      </c>
      <c r="G261" t="s">
        <v>15</v>
      </c>
    </row>
    <row r="262" spans="1:7">
      <c r="A262" t="s">
        <v>60</v>
      </c>
      <c r="B262" s="1">
        <v>45668</v>
      </c>
      <c r="C262" t="s">
        <v>22</v>
      </c>
      <c r="D262" t="s">
        <v>3</v>
      </c>
      <c r="E262" t="s">
        <v>2</v>
      </c>
      <c r="G262" t="s">
        <v>15</v>
      </c>
    </row>
    <row r="263" spans="1:7">
      <c r="A263" t="s">
        <v>59</v>
      </c>
      <c r="B263" s="1">
        <v>46067</v>
      </c>
      <c r="C263" t="s">
        <v>8</v>
      </c>
      <c r="D263" t="s">
        <v>3</v>
      </c>
      <c r="E263" t="s">
        <v>12</v>
      </c>
      <c r="F263" t="s">
        <v>1</v>
      </c>
      <c r="G263" t="s">
        <v>6</v>
      </c>
    </row>
    <row r="264" spans="1:7">
      <c r="A264" t="s">
        <v>58</v>
      </c>
      <c r="B264" s="1">
        <v>45782</v>
      </c>
      <c r="C264" t="s">
        <v>8</v>
      </c>
      <c r="D264" t="s">
        <v>13</v>
      </c>
      <c r="E264" t="s">
        <v>2</v>
      </c>
      <c r="F264" t="s">
        <v>11</v>
      </c>
      <c r="G264" t="s">
        <v>6</v>
      </c>
    </row>
    <row r="265" spans="1:7">
      <c r="A265" t="s">
        <v>57</v>
      </c>
      <c r="B265" s="1">
        <v>46182</v>
      </c>
      <c r="C265" t="s">
        <v>27</v>
      </c>
      <c r="D265" t="s">
        <v>7</v>
      </c>
      <c r="E265" t="s">
        <v>2</v>
      </c>
      <c r="F265" t="s">
        <v>11</v>
      </c>
      <c r="G265" t="s">
        <v>15</v>
      </c>
    </row>
    <row r="266" spans="1:7">
      <c r="A266" t="s">
        <v>56</v>
      </c>
      <c r="B266" s="1">
        <v>45897</v>
      </c>
      <c r="C266" t="s">
        <v>31</v>
      </c>
      <c r="D266" t="s">
        <v>7</v>
      </c>
      <c r="E266" t="s">
        <v>2</v>
      </c>
      <c r="F266" t="s">
        <v>16</v>
      </c>
      <c r="G266" t="s">
        <v>55</v>
      </c>
    </row>
    <row r="267" spans="1:7">
      <c r="A267" t="s">
        <v>54</v>
      </c>
      <c r="B267" s="1">
        <v>45945</v>
      </c>
      <c r="C267" t="s">
        <v>31</v>
      </c>
      <c r="D267" t="s">
        <v>3</v>
      </c>
      <c r="E267" t="s">
        <v>30</v>
      </c>
      <c r="F267" t="s">
        <v>47</v>
      </c>
      <c r="G267" t="s">
        <v>15</v>
      </c>
    </row>
    <row r="268" spans="1:7">
      <c r="A268" t="s">
        <v>53</v>
      </c>
      <c r="B268" s="1">
        <v>45833</v>
      </c>
      <c r="D268" t="s">
        <v>3</v>
      </c>
      <c r="E268" t="s">
        <v>12</v>
      </c>
      <c r="F268" t="s">
        <v>11</v>
      </c>
      <c r="G268" t="s">
        <v>6</v>
      </c>
    </row>
    <row r="269" spans="1:7">
      <c r="A269" t="s">
        <v>52</v>
      </c>
      <c r="B269" s="1">
        <v>45977</v>
      </c>
      <c r="C269" t="s">
        <v>27</v>
      </c>
      <c r="D269" t="s">
        <v>26</v>
      </c>
      <c r="E269" t="s">
        <v>2</v>
      </c>
      <c r="F269" t="s">
        <v>16</v>
      </c>
    </row>
    <row r="270" spans="1:7">
      <c r="A270" t="s">
        <v>51</v>
      </c>
      <c r="B270" s="1">
        <v>45944</v>
      </c>
      <c r="C270" t="s">
        <v>31</v>
      </c>
      <c r="D270" t="s">
        <v>33</v>
      </c>
      <c r="E270" t="s">
        <v>12</v>
      </c>
      <c r="F270" t="s">
        <v>11</v>
      </c>
      <c r="G270" t="s">
        <v>15</v>
      </c>
    </row>
    <row r="271" spans="1:7">
      <c r="A271" t="s">
        <v>50</v>
      </c>
      <c r="B271" s="1">
        <v>45902</v>
      </c>
      <c r="C271" t="s">
        <v>27</v>
      </c>
      <c r="D271" t="s">
        <v>3</v>
      </c>
      <c r="E271" t="s">
        <v>2</v>
      </c>
      <c r="F271" t="s">
        <v>1</v>
      </c>
      <c r="G271" t="s">
        <v>15</v>
      </c>
    </row>
    <row r="272" spans="1:7">
      <c r="A272" t="s">
        <v>49</v>
      </c>
      <c r="B272" s="1">
        <v>45697</v>
      </c>
      <c r="C272" t="s">
        <v>36</v>
      </c>
      <c r="D272" t="s">
        <v>3</v>
      </c>
      <c r="E272" t="s">
        <v>2</v>
      </c>
      <c r="F272" t="s">
        <v>1</v>
      </c>
      <c r="G272" t="s">
        <v>6</v>
      </c>
    </row>
    <row r="273" spans="1:7">
      <c r="B273" s="1">
        <v>46050</v>
      </c>
      <c r="C273" t="s">
        <v>27</v>
      </c>
      <c r="D273" t="s">
        <v>7</v>
      </c>
      <c r="E273" t="s">
        <v>2</v>
      </c>
      <c r="F273" t="s">
        <v>1</v>
      </c>
      <c r="G273" t="s">
        <v>15</v>
      </c>
    </row>
    <row r="274" spans="1:7">
      <c r="A274" t="s">
        <v>48</v>
      </c>
      <c r="B274" s="1">
        <v>45832</v>
      </c>
      <c r="C274" t="s">
        <v>27</v>
      </c>
      <c r="D274" t="s">
        <v>3</v>
      </c>
      <c r="E274" t="s">
        <v>2</v>
      </c>
      <c r="F274" t="s">
        <v>47</v>
      </c>
    </row>
    <row r="275" spans="1:7">
      <c r="A275" t="s">
        <v>46</v>
      </c>
      <c r="B275" s="1">
        <v>46225</v>
      </c>
      <c r="C275" t="s">
        <v>31</v>
      </c>
      <c r="E275" t="s">
        <v>12</v>
      </c>
      <c r="F275" t="s">
        <v>11</v>
      </c>
      <c r="G275" t="s">
        <v>15</v>
      </c>
    </row>
    <row r="276" spans="1:7">
      <c r="A276" t="s">
        <v>45</v>
      </c>
      <c r="B276" s="1">
        <v>45983</v>
      </c>
      <c r="C276" t="s">
        <v>31</v>
      </c>
      <c r="D276" t="s">
        <v>21</v>
      </c>
      <c r="E276" t="s">
        <v>12</v>
      </c>
      <c r="F276" t="s">
        <v>1</v>
      </c>
      <c r="G276" t="s">
        <v>15</v>
      </c>
    </row>
    <row r="277" spans="1:7">
      <c r="A277" t="s">
        <v>44</v>
      </c>
      <c r="B277" s="1">
        <v>46079</v>
      </c>
      <c r="C277" t="s">
        <v>31</v>
      </c>
      <c r="D277" t="s">
        <v>21</v>
      </c>
      <c r="E277" t="s">
        <v>30</v>
      </c>
      <c r="F277" t="s">
        <v>11</v>
      </c>
      <c r="G277" t="s">
        <v>15</v>
      </c>
    </row>
    <row r="278" spans="1:7">
      <c r="A278" t="s">
        <v>43</v>
      </c>
      <c r="B278" s="1">
        <v>45932</v>
      </c>
      <c r="C278" t="s">
        <v>27</v>
      </c>
      <c r="D278" t="s">
        <v>13</v>
      </c>
      <c r="E278" t="s">
        <v>2</v>
      </c>
      <c r="F278" t="s">
        <v>11</v>
      </c>
      <c r="G278" t="s">
        <v>15</v>
      </c>
    </row>
    <row r="279" spans="1:7">
      <c r="A279" t="s">
        <v>42</v>
      </c>
      <c r="B279" s="1">
        <v>46234</v>
      </c>
      <c r="C279" t="s">
        <v>27</v>
      </c>
      <c r="D279" t="s">
        <v>7</v>
      </c>
      <c r="E279" t="s">
        <v>2</v>
      </c>
      <c r="F279" t="s">
        <v>1</v>
      </c>
      <c r="G279" t="s">
        <v>15</v>
      </c>
    </row>
    <row r="280" spans="1:7">
      <c r="B280" s="1">
        <v>45951</v>
      </c>
      <c r="C280" t="s">
        <v>31</v>
      </c>
      <c r="D280" t="s">
        <v>21</v>
      </c>
      <c r="E280" t="s">
        <v>2</v>
      </c>
      <c r="F280" t="s">
        <v>16</v>
      </c>
      <c r="G280" t="s">
        <v>15</v>
      </c>
    </row>
    <row r="281" spans="1:7">
      <c r="A281" t="s">
        <v>41</v>
      </c>
      <c r="B281" s="1">
        <v>45901</v>
      </c>
      <c r="C281" t="s">
        <v>8</v>
      </c>
      <c r="D281" t="s">
        <v>13</v>
      </c>
      <c r="E281" t="s">
        <v>12</v>
      </c>
      <c r="F281" t="s">
        <v>16</v>
      </c>
      <c r="G281" t="s">
        <v>6</v>
      </c>
    </row>
    <row r="282" spans="1:7">
      <c r="A282" t="s">
        <v>40</v>
      </c>
      <c r="B282" s="1">
        <v>46137</v>
      </c>
      <c r="C282" t="s">
        <v>8</v>
      </c>
      <c r="D282" t="s">
        <v>21</v>
      </c>
      <c r="F282" t="s">
        <v>1</v>
      </c>
      <c r="G282" t="s">
        <v>6</v>
      </c>
    </row>
    <row r="283" spans="1:7">
      <c r="A283" t="s">
        <v>39</v>
      </c>
      <c r="B283" s="1">
        <v>46228</v>
      </c>
      <c r="C283" t="s">
        <v>31</v>
      </c>
      <c r="E283" t="s">
        <v>12</v>
      </c>
      <c r="F283" t="s">
        <v>16</v>
      </c>
      <c r="G283" t="s">
        <v>15</v>
      </c>
    </row>
    <row r="284" spans="1:7">
      <c r="A284" t="s">
        <v>38</v>
      </c>
      <c r="B284" s="1">
        <v>45804</v>
      </c>
      <c r="C284" t="s">
        <v>8</v>
      </c>
      <c r="D284" t="s">
        <v>7</v>
      </c>
      <c r="E284" t="s">
        <v>2</v>
      </c>
      <c r="F284" t="s">
        <v>1</v>
      </c>
      <c r="G284" t="s">
        <v>6</v>
      </c>
    </row>
    <row r="285" spans="1:7">
      <c r="A285" t="s">
        <v>37</v>
      </c>
      <c r="B285" s="1">
        <v>45882</v>
      </c>
      <c r="C285" t="s">
        <v>36</v>
      </c>
      <c r="D285" t="s">
        <v>13</v>
      </c>
      <c r="E285" t="s">
        <v>12</v>
      </c>
      <c r="F285" t="s">
        <v>11</v>
      </c>
      <c r="G285" t="s">
        <v>6</v>
      </c>
    </row>
    <row r="286" spans="1:7">
      <c r="B286" s="1">
        <v>45992</v>
      </c>
      <c r="C286" t="s">
        <v>31</v>
      </c>
      <c r="D286" t="s">
        <v>26</v>
      </c>
      <c r="E286" t="s">
        <v>2</v>
      </c>
      <c r="F286" t="s">
        <v>1</v>
      </c>
      <c r="G286" t="s">
        <v>15</v>
      </c>
    </row>
    <row r="287" spans="1:7">
      <c r="A287" t="s">
        <v>35</v>
      </c>
      <c r="B287" s="1">
        <v>45908</v>
      </c>
      <c r="C287" t="s">
        <v>4</v>
      </c>
      <c r="D287" t="s">
        <v>13</v>
      </c>
      <c r="E287" t="s">
        <v>2</v>
      </c>
      <c r="F287" t="s">
        <v>11</v>
      </c>
      <c r="G287" t="s">
        <v>10</v>
      </c>
    </row>
    <row r="288" spans="1:7">
      <c r="A288" t="s">
        <v>34</v>
      </c>
      <c r="B288" s="1">
        <v>46162</v>
      </c>
      <c r="C288" t="s">
        <v>27</v>
      </c>
      <c r="D288" t="s">
        <v>33</v>
      </c>
      <c r="E288" t="s">
        <v>2</v>
      </c>
      <c r="F288" t="s">
        <v>1</v>
      </c>
      <c r="G288" t="s">
        <v>15</v>
      </c>
    </row>
    <row r="289" spans="1:7">
      <c r="A289" t="s">
        <v>32</v>
      </c>
      <c r="B289" s="1">
        <v>45806</v>
      </c>
      <c r="C289" t="s">
        <v>31</v>
      </c>
      <c r="D289" t="s">
        <v>7</v>
      </c>
      <c r="E289" t="s">
        <v>30</v>
      </c>
      <c r="F289" t="s">
        <v>11</v>
      </c>
      <c r="G289" t="s">
        <v>15</v>
      </c>
    </row>
    <row r="290" spans="1:7">
      <c r="A290" t="s">
        <v>29</v>
      </c>
      <c r="B290" s="1">
        <v>45856</v>
      </c>
      <c r="D290" t="s">
        <v>26</v>
      </c>
      <c r="E290" t="s">
        <v>12</v>
      </c>
      <c r="F290" t="s">
        <v>1</v>
      </c>
      <c r="G290" t="s">
        <v>15</v>
      </c>
    </row>
    <row r="291" spans="1:7">
      <c r="A291" t="s">
        <v>28</v>
      </c>
      <c r="B291" s="1"/>
      <c r="C291" t="s">
        <v>27</v>
      </c>
      <c r="D291" t="s">
        <v>26</v>
      </c>
      <c r="E291" t="s">
        <v>2</v>
      </c>
      <c r="F291" t="s">
        <v>1</v>
      </c>
      <c r="G291" t="s">
        <v>15</v>
      </c>
    </row>
    <row r="292" spans="1:7">
      <c r="A292" t="s">
        <v>25</v>
      </c>
      <c r="B292" s="1">
        <v>45970</v>
      </c>
      <c r="C292" t="s">
        <v>4</v>
      </c>
      <c r="D292" t="s">
        <v>3</v>
      </c>
      <c r="F292" t="s">
        <v>1</v>
      </c>
      <c r="G292" t="s">
        <v>10</v>
      </c>
    </row>
    <row r="293" spans="1:7">
      <c r="A293" t="s">
        <v>24</v>
      </c>
      <c r="B293" s="1">
        <v>45822</v>
      </c>
      <c r="C293" t="s">
        <v>22</v>
      </c>
      <c r="D293" t="s">
        <v>7</v>
      </c>
      <c r="E293" t="s">
        <v>12</v>
      </c>
      <c r="F293" t="s">
        <v>11</v>
      </c>
      <c r="G293" t="s">
        <v>15</v>
      </c>
    </row>
    <row r="294" spans="1:7">
      <c r="A294" t="s">
        <v>23</v>
      </c>
      <c r="B294" s="1">
        <v>46005</v>
      </c>
      <c r="C294" t="s">
        <v>22</v>
      </c>
      <c r="D294" t="s">
        <v>21</v>
      </c>
      <c r="E294" t="s">
        <v>2</v>
      </c>
      <c r="G294" t="s">
        <v>15</v>
      </c>
    </row>
    <row r="295" spans="1:7">
      <c r="A295" t="s">
        <v>20</v>
      </c>
      <c r="B295" s="1">
        <v>46052</v>
      </c>
      <c r="C295" t="s">
        <v>8</v>
      </c>
      <c r="D295" t="s">
        <v>13</v>
      </c>
      <c r="E295" t="s">
        <v>12</v>
      </c>
      <c r="F295" t="s">
        <v>11</v>
      </c>
      <c r="G295" t="s">
        <v>6</v>
      </c>
    </row>
    <row r="296" spans="1:7">
      <c r="A296" t="s">
        <v>19</v>
      </c>
      <c r="B296" s="1"/>
      <c r="C296" t="s">
        <v>8</v>
      </c>
      <c r="D296" t="s">
        <v>13</v>
      </c>
      <c r="E296" t="s">
        <v>12</v>
      </c>
      <c r="F296" t="s">
        <v>1</v>
      </c>
      <c r="G296" t="s">
        <v>6</v>
      </c>
    </row>
    <row r="297" spans="1:7">
      <c r="A297" t="s">
        <v>18</v>
      </c>
      <c r="B297" s="1">
        <v>45691</v>
      </c>
      <c r="C297" t="s">
        <v>8</v>
      </c>
      <c r="D297" t="s">
        <v>7</v>
      </c>
      <c r="E297" t="s">
        <v>12</v>
      </c>
      <c r="F297" t="s">
        <v>11</v>
      </c>
    </row>
    <row r="298" spans="1:7">
      <c r="A298" t="s">
        <v>17</v>
      </c>
      <c r="B298" s="1">
        <v>46000</v>
      </c>
      <c r="D298" t="s">
        <v>3</v>
      </c>
      <c r="E298" t="s">
        <v>2</v>
      </c>
      <c r="F298" t="s">
        <v>16</v>
      </c>
      <c r="G298" t="s">
        <v>15</v>
      </c>
    </row>
    <row r="299" spans="1:7">
      <c r="A299" t="s">
        <v>14</v>
      </c>
      <c r="B299" s="1">
        <v>45681</v>
      </c>
      <c r="C299" t="s">
        <v>4</v>
      </c>
      <c r="D299" t="s">
        <v>13</v>
      </c>
      <c r="E299" t="s">
        <v>12</v>
      </c>
      <c r="F299" t="s">
        <v>11</v>
      </c>
      <c r="G299" t="s">
        <v>10</v>
      </c>
    </row>
    <row r="300" spans="1:7">
      <c r="A300" t="s">
        <v>9</v>
      </c>
      <c r="B300" s="1">
        <v>45711</v>
      </c>
      <c r="C300" t="s">
        <v>8</v>
      </c>
      <c r="D300" t="s">
        <v>7</v>
      </c>
      <c r="E300" t="s">
        <v>2</v>
      </c>
      <c r="F300" t="s">
        <v>1</v>
      </c>
      <c r="G300" t="s">
        <v>6</v>
      </c>
    </row>
    <row r="301" spans="1:7">
      <c r="A301" t="s">
        <v>5</v>
      </c>
      <c r="B301" s="1">
        <v>46143</v>
      </c>
      <c r="C301" t="s">
        <v>4</v>
      </c>
      <c r="D301" t="s">
        <v>3</v>
      </c>
      <c r="E301" t="s">
        <v>2</v>
      </c>
      <c r="F301" t="s">
        <v>1</v>
      </c>
      <c r="G301" t="s">
        <v>0</v>
      </c>
    </row>
  </sheetData>
  <mergeCells count="1">
    <mergeCell ref="L1:M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3A838-6550-4F24-8409-58CA0A85E6A0}">
  <dimension ref="A1:X295"/>
  <sheetViews>
    <sheetView tabSelected="1" topLeftCell="A51" workbookViewId="0">
      <selection activeCell="B68" sqref="B68"/>
    </sheetView>
  </sheetViews>
  <sheetFormatPr defaultColWidth="8.6328125" defaultRowHeight="14.5"/>
  <cols>
    <col min="1" max="1" width="46" customWidth="1"/>
    <col min="2" max="3" width="20" customWidth="1"/>
    <col min="12" max="12" width="3" customWidth="1"/>
    <col min="13" max="13" width="19.26953125" customWidth="1"/>
    <col min="14" max="14" width="23.453125" customWidth="1"/>
    <col min="15" max="15" width="19.453125" customWidth="1"/>
    <col min="16" max="16" width="15.81640625" customWidth="1"/>
    <col min="17" max="17" width="19.81640625" customWidth="1"/>
    <col min="18" max="18" width="19.36328125" customWidth="1"/>
    <col min="19" max="19" width="19.6328125" customWidth="1"/>
    <col min="21" max="21" width="20" customWidth="1"/>
    <col min="22" max="22" width="10" customWidth="1"/>
  </cols>
  <sheetData>
    <row r="1" spans="1:24" ht="24" customHeight="1">
      <c r="A1" s="16" t="s">
        <v>368</v>
      </c>
      <c r="M1" s="8" t="s">
        <v>314</v>
      </c>
      <c r="N1" s="8" t="s">
        <v>313</v>
      </c>
      <c r="O1" s="8" t="s">
        <v>312</v>
      </c>
      <c r="P1" s="8" t="s">
        <v>311</v>
      </c>
      <c r="Q1" s="8" t="s">
        <v>310</v>
      </c>
      <c r="R1" s="8" t="s">
        <v>309</v>
      </c>
      <c r="S1" s="8" t="s">
        <v>308</v>
      </c>
    </row>
    <row r="2" spans="1:24" ht="15" customHeight="1">
      <c r="M2" t="s">
        <v>342</v>
      </c>
      <c r="N2" s="1">
        <v>46215</v>
      </c>
      <c r="O2" t="s">
        <v>36</v>
      </c>
      <c r="P2" t="s">
        <v>13</v>
      </c>
      <c r="Q2" t="s">
        <v>2</v>
      </c>
      <c r="R2" t="s">
        <v>16</v>
      </c>
      <c r="S2" t="s">
        <v>6</v>
      </c>
    </row>
    <row r="3" spans="1:24" ht="19.5" customHeight="1">
      <c r="A3" s="18" t="s">
        <v>369</v>
      </c>
      <c r="B3" s="19"/>
      <c r="C3" s="19"/>
      <c r="M3" t="s">
        <v>343</v>
      </c>
      <c r="N3" s="1">
        <v>45822</v>
      </c>
      <c r="O3" t="s">
        <v>8</v>
      </c>
      <c r="P3" t="s">
        <v>3</v>
      </c>
      <c r="Q3" t="s">
        <v>30</v>
      </c>
      <c r="R3" t="s">
        <v>1</v>
      </c>
      <c r="S3" t="s">
        <v>6</v>
      </c>
      <c r="U3" s="20"/>
      <c r="V3" s="17" t="s">
        <v>359</v>
      </c>
    </row>
    <row r="4" spans="1:24" ht="15" customHeight="1">
      <c r="A4" s="21" t="s">
        <v>370</v>
      </c>
      <c r="B4" s="21" t="s">
        <v>371</v>
      </c>
      <c r="C4" s="21" t="s">
        <v>372</v>
      </c>
      <c r="M4" t="s">
        <v>344</v>
      </c>
      <c r="N4" s="1">
        <v>46017</v>
      </c>
      <c r="O4" t="s">
        <v>8</v>
      </c>
      <c r="P4" t="s">
        <v>33</v>
      </c>
      <c r="Q4" t="s">
        <v>2</v>
      </c>
      <c r="R4" t="s">
        <v>16</v>
      </c>
      <c r="S4" t="s">
        <v>6</v>
      </c>
      <c r="U4" s="22" t="s">
        <v>27</v>
      </c>
      <c r="V4" s="22">
        <f t="shared" ref="V4:V9" si="0">COUNTIF($O$2:$O$293,U4)</f>
        <v>84</v>
      </c>
    </row>
    <row r="5" spans="1:24" ht="15" customHeight="1">
      <c r="A5" s="23" t="s">
        <v>312</v>
      </c>
      <c r="B5" s="23" t="str">
        <f>INDEX($U$4:$U$9,MATCH(MAX($V$4:$V$9),$V$4:$V$9,0))</f>
        <v>Theft</v>
      </c>
      <c r="C5" s="23" t="s">
        <v>373</v>
      </c>
      <c r="M5" t="s">
        <v>345</v>
      </c>
      <c r="N5" s="1">
        <v>45832</v>
      </c>
      <c r="O5" t="s">
        <v>36</v>
      </c>
      <c r="P5" t="s">
        <v>26</v>
      </c>
      <c r="Q5" t="s">
        <v>12</v>
      </c>
      <c r="R5" t="s">
        <v>47</v>
      </c>
      <c r="S5" t="s">
        <v>6</v>
      </c>
      <c r="U5" s="22" t="s">
        <v>22</v>
      </c>
      <c r="V5" s="22">
        <f t="shared" si="0"/>
        <v>18</v>
      </c>
    </row>
    <row r="6" spans="1:24" ht="15" customHeight="1">
      <c r="A6" s="23" t="s">
        <v>311</v>
      </c>
      <c r="B6" s="23" t="str">
        <f>INDEX($U$12:$U$17,MATCH(MAX($V$12:$V$17),$V$12:$V$17,0))</f>
        <v>Hodan</v>
      </c>
      <c r="C6" s="23" t="s">
        <v>373</v>
      </c>
      <c r="M6" t="s">
        <v>346</v>
      </c>
      <c r="N6" s="1">
        <v>46045</v>
      </c>
      <c r="O6" t="s">
        <v>36</v>
      </c>
      <c r="P6" t="s">
        <v>33</v>
      </c>
      <c r="Q6" t="s">
        <v>2</v>
      </c>
      <c r="R6" t="s">
        <v>11</v>
      </c>
      <c r="S6" t="s">
        <v>6</v>
      </c>
      <c r="U6" s="22" t="s">
        <v>36</v>
      </c>
      <c r="V6" s="22">
        <f t="shared" si="0"/>
        <v>60</v>
      </c>
    </row>
    <row r="7" spans="1:24" ht="15" customHeight="1">
      <c r="A7" s="23" t="s">
        <v>310</v>
      </c>
      <c r="B7" s="23" t="str">
        <f>INDEX($U$20:$U$22,MATCH(MAX($V$20:$V$22),$V$20:$V$22,0))</f>
        <v>Male</v>
      </c>
      <c r="C7" s="23" t="s">
        <v>373</v>
      </c>
      <c r="M7" t="s">
        <v>347</v>
      </c>
      <c r="N7" s="1">
        <v>46039</v>
      </c>
      <c r="O7" t="s">
        <v>8</v>
      </c>
      <c r="P7" t="s">
        <v>33</v>
      </c>
      <c r="Q7" t="s">
        <v>2</v>
      </c>
      <c r="R7" t="s">
        <v>1</v>
      </c>
      <c r="S7" t="s">
        <v>6</v>
      </c>
      <c r="U7" s="22" t="s">
        <v>31</v>
      </c>
      <c r="V7" s="22">
        <f t="shared" si="0"/>
        <v>57</v>
      </c>
    </row>
    <row r="8" spans="1:24" ht="15" customHeight="1">
      <c r="A8" s="23" t="s">
        <v>309</v>
      </c>
      <c r="B8" s="23" t="str">
        <f>INDEX($U$25:$U$28,MATCH(MAX($V$25:$V$28),$V$25:$V$28,0))</f>
        <v>Closed</v>
      </c>
      <c r="C8" s="23" t="s">
        <v>373</v>
      </c>
      <c r="M8" t="s">
        <v>348</v>
      </c>
      <c r="N8" s="1">
        <v>46159</v>
      </c>
      <c r="O8" t="s">
        <v>4</v>
      </c>
      <c r="P8" t="s">
        <v>7</v>
      </c>
      <c r="Q8" t="s">
        <v>2</v>
      </c>
      <c r="R8" t="s">
        <v>11</v>
      </c>
      <c r="S8" t="s">
        <v>15</v>
      </c>
      <c r="U8" s="22" t="s">
        <v>8</v>
      </c>
      <c r="V8" s="22">
        <f t="shared" si="0"/>
        <v>44</v>
      </c>
    </row>
    <row r="9" spans="1:24" ht="15" customHeight="1">
      <c r="A9" s="23" t="s">
        <v>308</v>
      </c>
      <c r="B9" s="23" t="str">
        <f>INDEX($U$31:$U$33,MATCH(MAX($V$31:$V$33),$V$31:$V$33,0))</f>
        <v>Medium</v>
      </c>
      <c r="C9" s="23" t="s">
        <v>373</v>
      </c>
      <c r="M9" t="s">
        <v>349</v>
      </c>
      <c r="N9" s="1">
        <v>45850</v>
      </c>
      <c r="O9" t="s">
        <v>4</v>
      </c>
      <c r="P9" t="s">
        <v>33</v>
      </c>
      <c r="Q9" t="s">
        <v>12</v>
      </c>
      <c r="R9" t="s">
        <v>1</v>
      </c>
      <c r="S9" t="s">
        <v>10</v>
      </c>
      <c r="U9" s="22" t="s">
        <v>4</v>
      </c>
      <c r="V9" s="22">
        <f t="shared" si="0"/>
        <v>29</v>
      </c>
    </row>
    <row r="10" spans="1:24" ht="15" customHeight="1">
      <c r="A10" s="23" t="s">
        <v>313</v>
      </c>
      <c r="B10" s="24">
        <f>MEDIAN(N2:N286)</f>
        <v>45974</v>
      </c>
      <c r="C10" s="23" t="s">
        <v>374</v>
      </c>
      <c r="M10" t="s">
        <v>350</v>
      </c>
      <c r="N10" s="1">
        <v>46204</v>
      </c>
      <c r="O10" t="s">
        <v>27</v>
      </c>
      <c r="P10" t="s">
        <v>7</v>
      </c>
      <c r="Q10" t="s">
        <v>2</v>
      </c>
      <c r="R10" t="s">
        <v>16</v>
      </c>
      <c r="S10" t="s">
        <v>15</v>
      </c>
      <c r="V10" s="22">
        <f>SUM(V4:V9)</f>
        <v>292</v>
      </c>
      <c r="X10" s="22"/>
    </row>
    <row r="11" spans="1:24" ht="15" customHeight="1">
      <c r="M11" t="s">
        <v>351</v>
      </c>
      <c r="N11" s="1">
        <v>46063</v>
      </c>
      <c r="O11" t="s">
        <v>8</v>
      </c>
      <c r="P11" t="s">
        <v>33</v>
      </c>
      <c r="Q11" t="s">
        <v>12</v>
      </c>
      <c r="R11" t="s">
        <v>11</v>
      </c>
      <c r="S11" t="s">
        <v>6</v>
      </c>
      <c r="U11" s="25" t="s">
        <v>311</v>
      </c>
      <c r="X11" s="22"/>
    </row>
    <row r="12" spans="1:24" ht="15" customHeight="1">
      <c r="M12" t="s">
        <v>352</v>
      </c>
      <c r="N12" s="1">
        <v>45748</v>
      </c>
      <c r="O12" t="s">
        <v>22</v>
      </c>
      <c r="P12" t="s">
        <v>13</v>
      </c>
      <c r="Q12" t="s">
        <v>12</v>
      </c>
      <c r="R12" t="s">
        <v>11</v>
      </c>
      <c r="S12" t="s">
        <v>15</v>
      </c>
      <c r="U12" s="22" t="s">
        <v>21</v>
      </c>
      <c r="V12" s="22">
        <f t="shared" ref="V12:V17" si="1">COUNTIF($P$2:$P$293,U12)</f>
        <v>32</v>
      </c>
      <c r="X12" s="22"/>
    </row>
    <row r="13" spans="1:24" ht="15" customHeight="1">
      <c r="M13" t="s">
        <v>353</v>
      </c>
      <c r="N13" s="1">
        <v>46161</v>
      </c>
      <c r="O13" t="s">
        <v>4</v>
      </c>
      <c r="P13" t="s">
        <v>3</v>
      </c>
      <c r="Q13" t="s">
        <v>12</v>
      </c>
      <c r="R13" t="s">
        <v>16</v>
      </c>
      <c r="S13" t="s">
        <v>10</v>
      </c>
      <c r="U13" s="22" t="s">
        <v>7</v>
      </c>
      <c r="V13" s="22">
        <f t="shared" si="1"/>
        <v>62</v>
      </c>
      <c r="X13" s="22"/>
    </row>
    <row r="14" spans="1:24" ht="15" customHeight="1">
      <c r="M14" t="s">
        <v>354</v>
      </c>
      <c r="N14" s="1">
        <v>46050</v>
      </c>
      <c r="O14" t="s">
        <v>27</v>
      </c>
      <c r="P14" t="s">
        <v>7</v>
      </c>
      <c r="Q14" t="s">
        <v>2</v>
      </c>
      <c r="R14" t="s">
        <v>1</v>
      </c>
      <c r="S14" t="s">
        <v>15</v>
      </c>
      <c r="U14" s="22" t="s">
        <v>3</v>
      </c>
      <c r="V14" s="22">
        <f t="shared" si="1"/>
        <v>84</v>
      </c>
      <c r="X14" s="22"/>
    </row>
    <row r="15" spans="1:24" ht="15" customHeight="1">
      <c r="M15" t="s">
        <v>355</v>
      </c>
      <c r="N15" s="1">
        <v>45951</v>
      </c>
      <c r="O15" t="s">
        <v>31</v>
      </c>
      <c r="P15" t="s">
        <v>21</v>
      </c>
      <c r="Q15" t="s">
        <v>2</v>
      </c>
      <c r="R15" t="s">
        <v>16</v>
      </c>
      <c r="S15" t="s">
        <v>15</v>
      </c>
      <c r="U15" s="22" t="s">
        <v>26</v>
      </c>
      <c r="V15" s="22">
        <f t="shared" si="1"/>
        <v>44</v>
      </c>
      <c r="X15" s="22"/>
    </row>
    <row r="16" spans="1:24" ht="15" customHeight="1">
      <c r="M16" t="s">
        <v>356</v>
      </c>
      <c r="N16" s="1">
        <v>45992</v>
      </c>
      <c r="O16" t="s">
        <v>31</v>
      </c>
      <c r="P16" t="s">
        <v>26</v>
      </c>
      <c r="Q16" t="s">
        <v>2</v>
      </c>
      <c r="R16" t="s">
        <v>1</v>
      </c>
      <c r="S16" t="s">
        <v>15</v>
      </c>
      <c r="U16" s="22" t="s">
        <v>33</v>
      </c>
      <c r="V16" s="22">
        <f t="shared" si="1"/>
        <v>38</v>
      </c>
    </row>
    <row r="17" spans="13:22" ht="15" customHeight="1">
      <c r="M17" t="s">
        <v>202</v>
      </c>
      <c r="N17" s="1">
        <v>45912</v>
      </c>
      <c r="O17" t="s">
        <v>8</v>
      </c>
      <c r="P17" t="s">
        <v>7</v>
      </c>
      <c r="Q17" t="s">
        <v>2</v>
      </c>
      <c r="R17" t="s">
        <v>1</v>
      </c>
      <c r="S17" t="str">
        <f>IF(S2="Unknown","High",S2)</f>
        <v>High</v>
      </c>
      <c r="U17" s="22" t="s">
        <v>13</v>
      </c>
      <c r="V17" s="22">
        <f t="shared" si="1"/>
        <v>32</v>
      </c>
    </row>
    <row r="18" spans="13:22" ht="15" customHeight="1">
      <c r="M18" t="s">
        <v>264</v>
      </c>
      <c r="N18" s="1">
        <v>46176</v>
      </c>
      <c r="O18" t="s">
        <v>27</v>
      </c>
      <c r="P18" t="str">
        <f>IF(P2="Unknown","Hodan",P2)</f>
        <v>Waberi</v>
      </c>
      <c r="Q18" t="s">
        <v>2</v>
      </c>
      <c r="R18" t="s">
        <v>11</v>
      </c>
      <c r="S18" t="s">
        <v>15</v>
      </c>
      <c r="V18" s="22">
        <f>SUM(V12:V17)</f>
        <v>292</v>
      </c>
    </row>
    <row r="19" spans="13:22" ht="15" customHeight="1">
      <c r="M19" t="s">
        <v>306</v>
      </c>
      <c r="N19" s="1">
        <v>45714</v>
      </c>
      <c r="O19" t="s">
        <v>22</v>
      </c>
      <c r="P19" t="str">
        <f>IF(P3="Unknown","Hodan",P3)</f>
        <v>Hodan</v>
      </c>
      <c r="Q19" t="s">
        <v>2</v>
      </c>
      <c r="R19" t="s">
        <v>1</v>
      </c>
      <c r="S19" t="s">
        <v>15</v>
      </c>
      <c r="U19" s="25" t="s">
        <v>310</v>
      </c>
    </row>
    <row r="20" spans="13:22" ht="15" customHeight="1">
      <c r="M20" t="s">
        <v>200</v>
      </c>
      <c r="N20" s="1">
        <v>46059</v>
      </c>
      <c r="O20" t="s">
        <v>31</v>
      </c>
      <c r="P20" t="s">
        <v>7</v>
      </c>
      <c r="Q20" t="s">
        <v>2</v>
      </c>
      <c r="R20" t="str" cm="1">
        <f t="array" ref="R20">IF(R2="Unknown",INDEX(R$2:R$292,MODE(MATCH(R$2:R$292,R$2:R$292,0))),R2)</f>
        <v>Open</v>
      </c>
      <c r="S20" t="s">
        <v>15</v>
      </c>
      <c r="U20" s="22" t="s">
        <v>2</v>
      </c>
      <c r="V20" s="22">
        <f>COUNTIF($Q$2:$Q$293,U20)</f>
        <v>160</v>
      </c>
    </row>
    <row r="21" spans="13:22" ht="15" customHeight="1">
      <c r="M21" t="s">
        <v>45</v>
      </c>
      <c r="N21" s="1">
        <v>45983</v>
      </c>
      <c r="O21" t="s">
        <v>31</v>
      </c>
      <c r="P21" t="s">
        <v>21</v>
      </c>
      <c r="Q21" t="s">
        <v>12</v>
      </c>
      <c r="R21" t="s">
        <v>1</v>
      </c>
      <c r="S21" t="s">
        <v>15</v>
      </c>
      <c r="U21" s="22" t="s">
        <v>12</v>
      </c>
      <c r="V21" s="22">
        <f>COUNTIF($Q$2:$Q$293,U21)</f>
        <v>89</v>
      </c>
    </row>
    <row r="22" spans="13:22" ht="15" customHeight="1">
      <c r="M22" t="s">
        <v>98</v>
      </c>
      <c r="N22" s="1">
        <v>45736</v>
      </c>
      <c r="O22" t="s">
        <v>8</v>
      </c>
      <c r="P22" t="s">
        <v>33</v>
      </c>
      <c r="Q22" t="s">
        <v>12</v>
      </c>
      <c r="R22" t="s">
        <v>11</v>
      </c>
      <c r="S22" t="s">
        <v>6</v>
      </c>
      <c r="U22" s="22" t="s">
        <v>30</v>
      </c>
      <c r="V22" s="22">
        <f>COUNTIF($Q$2:$Q$293,U22)</f>
        <v>43</v>
      </c>
    </row>
    <row r="23" spans="13:22" ht="15" customHeight="1">
      <c r="M23" t="s">
        <v>274</v>
      </c>
      <c r="N23" s="1">
        <v>45680</v>
      </c>
      <c r="O23" t="s">
        <v>31</v>
      </c>
      <c r="P23" t="s">
        <v>7</v>
      </c>
      <c r="Q23" t="s">
        <v>315</v>
      </c>
      <c r="R23" t="s">
        <v>1</v>
      </c>
      <c r="S23" t="s">
        <v>15</v>
      </c>
    </row>
    <row r="24" spans="13:22" ht="15" customHeight="1">
      <c r="M24" t="s">
        <v>175</v>
      </c>
      <c r="N24" s="1">
        <v>45882</v>
      </c>
      <c r="O24" t="str" cm="1">
        <f t="array" ref="O24">IF(O2="Unknown",INDEX(O$2:O$292,MODE(MATCH(O$2:O$292,O$2:O$292,0))),O2)</f>
        <v>Assault</v>
      </c>
      <c r="P24" t="s">
        <v>33</v>
      </c>
      <c r="Q24" t="s">
        <v>30</v>
      </c>
      <c r="R24" t="s">
        <v>1</v>
      </c>
      <c r="S24" t="s">
        <v>6</v>
      </c>
      <c r="U24" s="25" t="s">
        <v>309</v>
      </c>
    </row>
    <row r="25" spans="13:22" ht="15" customHeight="1">
      <c r="M25" t="s">
        <v>111</v>
      </c>
      <c r="N25" s="1">
        <v>45933</v>
      </c>
      <c r="O25" t="s">
        <v>8</v>
      </c>
      <c r="P25" t="s">
        <v>26</v>
      </c>
      <c r="Q25" t="s">
        <v>315</v>
      </c>
      <c r="R25" t="s">
        <v>11</v>
      </c>
      <c r="S25" t="s">
        <v>6</v>
      </c>
      <c r="U25" s="22" t="s">
        <v>16</v>
      </c>
      <c r="V25" s="22">
        <f>COUNTIF($R$2:$R$293,U25)</f>
        <v>67</v>
      </c>
    </row>
    <row r="26" spans="13:22" ht="15" customHeight="1">
      <c r="M26" t="s">
        <v>94</v>
      </c>
      <c r="N26" s="1">
        <v>45945</v>
      </c>
      <c r="O26" t="s">
        <v>4</v>
      </c>
      <c r="P26" t="s">
        <v>33</v>
      </c>
      <c r="Q26" t="s">
        <v>2</v>
      </c>
      <c r="R26" t="s">
        <v>1</v>
      </c>
      <c r="S26" t="s">
        <v>10</v>
      </c>
      <c r="U26" s="22" t="s">
        <v>1</v>
      </c>
      <c r="V26" s="22">
        <f>COUNTIF($R$2:$R$293,U26)</f>
        <v>123</v>
      </c>
    </row>
    <row r="27" spans="13:22" ht="15" customHeight="1">
      <c r="M27" t="s">
        <v>238</v>
      </c>
      <c r="N27" s="1">
        <v>45825</v>
      </c>
      <c r="O27" t="s">
        <v>36</v>
      </c>
      <c r="P27" t="s">
        <v>3</v>
      </c>
      <c r="Q27" t="s">
        <v>2</v>
      </c>
      <c r="R27" t="s">
        <v>16</v>
      </c>
      <c r="S27" t="s">
        <v>6</v>
      </c>
      <c r="U27" s="22" t="s">
        <v>11</v>
      </c>
      <c r="V27" s="22">
        <f>COUNTIF($R$2:$R$293,U27)</f>
        <v>77</v>
      </c>
    </row>
    <row r="28" spans="13:22" ht="15" customHeight="1">
      <c r="M28" t="s">
        <v>128</v>
      </c>
      <c r="N28" s="1">
        <v>45915</v>
      </c>
      <c r="O28" t="s">
        <v>22</v>
      </c>
      <c r="P28" t="s">
        <v>26</v>
      </c>
      <c r="Q28" t="s">
        <v>2</v>
      </c>
      <c r="R28" t="s">
        <v>11</v>
      </c>
      <c r="S28" t="s">
        <v>15</v>
      </c>
      <c r="U28" s="22" t="s">
        <v>47</v>
      </c>
      <c r="V28" s="22">
        <f>COUNTIF($R$2:$R$293,U28)</f>
        <v>25</v>
      </c>
    </row>
    <row r="29" spans="13:22" ht="15" customHeight="1">
      <c r="M29" t="s">
        <v>249</v>
      </c>
      <c r="N29" s="1">
        <v>45844</v>
      </c>
      <c r="O29" t="s">
        <v>27</v>
      </c>
      <c r="P29" t="s">
        <v>7</v>
      </c>
      <c r="Q29" t="s">
        <v>12</v>
      </c>
      <c r="R29" t="s">
        <v>1</v>
      </c>
      <c r="S29" t="s">
        <v>15</v>
      </c>
      <c r="V29" s="22">
        <f>SUM(V25:V28)</f>
        <v>292</v>
      </c>
    </row>
    <row r="30" spans="13:22" ht="15" customHeight="1">
      <c r="M30" t="s">
        <v>23</v>
      </c>
      <c r="N30" s="1">
        <v>46005</v>
      </c>
      <c r="O30" t="s">
        <v>22</v>
      </c>
      <c r="P30" t="s">
        <v>21</v>
      </c>
      <c r="Q30" t="s">
        <v>2</v>
      </c>
      <c r="R30" t="str" cm="1">
        <f t="array" ref="R30">IF(R12="Unknown",INDEX(R$2:R$292,MODE(MATCH(R$2:R$292,R$2:R$292,0))),R12)</f>
        <v>Under Investigation</v>
      </c>
      <c r="S30" t="s">
        <v>15</v>
      </c>
      <c r="U30" s="25" t="s">
        <v>308</v>
      </c>
    </row>
    <row r="31" spans="13:22" ht="15" customHeight="1">
      <c r="M31" t="s">
        <v>283</v>
      </c>
      <c r="N31" s="1">
        <f>IF(N2="Unknown",MEDIAN($B$2:$B$292),N2)</f>
        <v>46215</v>
      </c>
      <c r="O31" t="s">
        <v>8</v>
      </c>
      <c r="P31" t="s">
        <v>33</v>
      </c>
      <c r="Q31" t="s">
        <v>2</v>
      </c>
      <c r="R31" t="s">
        <v>1</v>
      </c>
      <c r="S31" t="s">
        <v>6</v>
      </c>
      <c r="U31" s="22" t="s">
        <v>10</v>
      </c>
      <c r="V31" s="22">
        <f>COUNTIF($S$2:$S$293,U31)</f>
        <v>30</v>
      </c>
    </row>
    <row r="32" spans="13:22" ht="15" customHeight="1">
      <c r="M32" t="s">
        <v>28</v>
      </c>
      <c r="N32" s="1">
        <f>IF(N2="Unknown",MEDIAN($B$2:$B$292),N2)</f>
        <v>46215</v>
      </c>
      <c r="O32" t="s">
        <v>27</v>
      </c>
      <c r="P32" t="s">
        <v>26</v>
      </c>
      <c r="Q32" t="s">
        <v>2</v>
      </c>
      <c r="R32" t="s">
        <v>1</v>
      </c>
      <c r="S32" t="s">
        <v>15</v>
      </c>
      <c r="U32" s="22" t="s">
        <v>15</v>
      </c>
      <c r="V32" s="22">
        <f>COUNTIF($S$2:$S$293,U32)</f>
        <v>156</v>
      </c>
    </row>
    <row r="33" spans="1:22" ht="15" customHeight="1">
      <c r="M33" t="s">
        <v>246</v>
      </c>
      <c r="N33" s="1">
        <v>46037</v>
      </c>
      <c r="O33" t="s">
        <v>27</v>
      </c>
      <c r="P33" t="s">
        <v>3</v>
      </c>
      <c r="Q33" t="s">
        <v>2</v>
      </c>
      <c r="R33" t="s">
        <v>11</v>
      </c>
      <c r="S33" t="s">
        <v>15</v>
      </c>
      <c r="U33" s="22" t="s">
        <v>6</v>
      </c>
      <c r="V33" s="22">
        <f>COUNTIF($S$2:$S$293,U33)</f>
        <v>106</v>
      </c>
    </row>
    <row r="34" spans="1:22" ht="15" customHeight="1">
      <c r="M34" t="s">
        <v>34</v>
      </c>
      <c r="N34" s="1">
        <v>46162</v>
      </c>
      <c r="O34" t="s">
        <v>27</v>
      </c>
      <c r="P34" t="s">
        <v>33</v>
      </c>
      <c r="Q34" t="s">
        <v>2</v>
      </c>
      <c r="R34" t="s">
        <v>1</v>
      </c>
      <c r="S34" t="s">
        <v>15</v>
      </c>
    </row>
    <row r="35" spans="1:22" ht="15" customHeight="1">
      <c r="M35" t="s">
        <v>136</v>
      </c>
      <c r="N35" s="1">
        <v>45877</v>
      </c>
      <c r="O35" t="s">
        <v>27</v>
      </c>
      <c r="P35" t="s">
        <v>3</v>
      </c>
      <c r="Q35" t="s">
        <v>2</v>
      </c>
      <c r="R35" t="s">
        <v>1</v>
      </c>
      <c r="S35" t="s">
        <v>15</v>
      </c>
    </row>
    <row r="36" spans="1:22" ht="15" customHeight="1">
      <c r="A36" s="23"/>
      <c r="B36" s="23"/>
      <c r="C36" s="28"/>
      <c r="M36" t="s">
        <v>185</v>
      </c>
      <c r="N36" s="1">
        <v>45915</v>
      </c>
      <c r="O36" t="s">
        <v>27</v>
      </c>
      <c r="P36" t="s">
        <v>21</v>
      </c>
      <c r="Q36" t="s">
        <v>2</v>
      </c>
      <c r="R36" t="s">
        <v>16</v>
      </c>
      <c r="S36" t="s">
        <v>15</v>
      </c>
    </row>
    <row r="37" spans="1:22" ht="15" customHeight="1">
      <c r="A37" s="23"/>
      <c r="B37" s="29"/>
      <c r="C37" s="28"/>
      <c r="M37" t="s">
        <v>125</v>
      </c>
      <c r="N37" s="1">
        <v>46120</v>
      </c>
      <c r="O37" t="str" cm="1">
        <f t="array" ref="O37">IF(O2="Unknown",INDEX(O$2:O$292,MODE(MATCH(O$2:O$292,O$2:O$292,0))),O2)</f>
        <v>Assault</v>
      </c>
      <c r="P37" t="s">
        <v>3</v>
      </c>
      <c r="Q37" t="s">
        <v>30</v>
      </c>
      <c r="R37" t="s">
        <v>1</v>
      </c>
      <c r="S37" t="s">
        <v>10</v>
      </c>
    </row>
    <row r="38" spans="1:22" ht="15" customHeight="1">
      <c r="A38" s="23"/>
      <c r="B38" s="23"/>
      <c r="C38" s="28"/>
      <c r="M38" t="s">
        <v>127</v>
      </c>
      <c r="N38" s="1">
        <f>IF(N2="Unknown",MEDIAN($B$2:$B$292),N2)</f>
        <v>46215</v>
      </c>
      <c r="O38" t="s">
        <v>36</v>
      </c>
      <c r="P38" t="s">
        <v>21</v>
      </c>
      <c r="Q38" t="s">
        <v>2</v>
      </c>
      <c r="R38" t="s">
        <v>1</v>
      </c>
      <c r="S38" t="s">
        <v>6</v>
      </c>
    </row>
    <row r="39" spans="1:22" ht="15" customHeight="1">
      <c r="A39" s="23"/>
      <c r="B39" s="23"/>
      <c r="C39" s="28"/>
      <c r="M39" t="s">
        <v>159</v>
      </c>
      <c r="N39" s="1">
        <v>46058</v>
      </c>
      <c r="O39" t="s">
        <v>27</v>
      </c>
      <c r="P39" t="s">
        <v>7</v>
      </c>
      <c r="Q39" t="s">
        <v>12</v>
      </c>
      <c r="R39" t="str" cm="1">
        <f t="array" ref="R39">IF(R21="Unknown",INDEX(R$2:R$292,MODE(MATCH(R$2:R$292,R$2:R$292,0))),R21)</f>
        <v>Closed</v>
      </c>
      <c r="S39" t="s">
        <v>15</v>
      </c>
    </row>
    <row r="40" spans="1:22" ht="15" customHeight="1">
      <c r="A40" s="23"/>
      <c r="B40" s="23"/>
      <c r="C40" s="28"/>
      <c r="M40" t="s">
        <v>122</v>
      </c>
      <c r="N40" s="1">
        <v>45950</v>
      </c>
      <c r="O40" t="s">
        <v>8</v>
      </c>
      <c r="P40" t="s">
        <v>7</v>
      </c>
      <c r="Q40" t="s">
        <v>2</v>
      </c>
      <c r="R40" t="s">
        <v>1</v>
      </c>
      <c r="S40" t="s">
        <v>6</v>
      </c>
    </row>
    <row r="41" spans="1:22" ht="15" customHeight="1">
      <c r="M41" t="s">
        <v>92</v>
      </c>
      <c r="N41" s="1">
        <v>46043</v>
      </c>
      <c r="O41" t="s">
        <v>36</v>
      </c>
      <c r="P41" t="s">
        <v>21</v>
      </c>
      <c r="Q41" t="s">
        <v>2</v>
      </c>
      <c r="R41" t="s">
        <v>47</v>
      </c>
      <c r="S41" t="s">
        <v>6</v>
      </c>
    </row>
    <row r="42" spans="1:22" ht="15" customHeight="1">
      <c r="A42" s="23"/>
      <c r="B42" s="23"/>
      <c r="C42" s="28"/>
      <c r="M42" t="s">
        <v>109</v>
      </c>
      <c r="N42" s="1">
        <f>IF(N2="Unknown",MEDIAN($B$2:$B$292),N2)</f>
        <v>46215</v>
      </c>
      <c r="O42" t="s">
        <v>36</v>
      </c>
      <c r="P42" t="s">
        <v>3</v>
      </c>
      <c r="Q42" t="s">
        <v>30</v>
      </c>
      <c r="R42" t="s">
        <v>11</v>
      </c>
      <c r="S42" t="s">
        <v>6</v>
      </c>
    </row>
    <row r="43" spans="1:22" ht="15" customHeight="1">
      <c r="A43" s="23"/>
      <c r="B43" s="23"/>
      <c r="C43" s="28"/>
      <c r="M43" t="s">
        <v>116</v>
      </c>
      <c r="N43" s="1">
        <v>45781</v>
      </c>
      <c r="O43" t="s">
        <v>31</v>
      </c>
      <c r="P43" t="str">
        <f>IF(P27="Unknown","Hodan",P27)</f>
        <v>Hodan</v>
      </c>
      <c r="Q43" t="s">
        <v>2</v>
      </c>
      <c r="R43" t="s">
        <v>1</v>
      </c>
      <c r="S43" t="s">
        <v>15</v>
      </c>
    </row>
    <row r="44" spans="1:22" ht="15" customHeight="1">
      <c r="A44" s="23"/>
      <c r="B44" s="29"/>
      <c r="C44" s="28"/>
      <c r="M44" t="s">
        <v>302</v>
      </c>
      <c r="N44" s="1">
        <v>45705</v>
      </c>
      <c r="O44" t="s">
        <v>31</v>
      </c>
      <c r="P44" t="s">
        <v>7</v>
      </c>
      <c r="Q44" t="s">
        <v>2</v>
      </c>
      <c r="R44" t="s">
        <v>11</v>
      </c>
      <c r="S44" t="s">
        <v>15</v>
      </c>
    </row>
    <row r="45" spans="1:22" ht="15" customHeight="1">
      <c r="M45" t="s">
        <v>203</v>
      </c>
      <c r="N45" s="1">
        <v>45775</v>
      </c>
      <c r="O45" t="s">
        <v>22</v>
      </c>
      <c r="P45" t="s">
        <v>3</v>
      </c>
      <c r="Q45" t="s">
        <v>2</v>
      </c>
      <c r="R45" t="s">
        <v>1</v>
      </c>
      <c r="S45" t="s">
        <v>15</v>
      </c>
    </row>
    <row r="46" spans="1:22" ht="15" customHeight="1">
      <c r="A46" s="23"/>
      <c r="B46" s="23"/>
      <c r="C46" s="28"/>
      <c r="M46" t="s">
        <v>139</v>
      </c>
      <c r="N46" s="1">
        <v>45664</v>
      </c>
      <c r="O46" t="s">
        <v>22</v>
      </c>
      <c r="P46" t="s">
        <v>3</v>
      </c>
      <c r="Q46" t="s">
        <v>12</v>
      </c>
      <c r="R46" t="s">
        <v>16</v>
      </c>
      <c r="S46" t="s">
        <v>15</v>
      </c>
    </row>
    <row r="47" spans="1:22" ht="15" customHeight="1">
      <c r="A47" s="23"/>
      <c r="B47" s="23"/>
      <c r="C47" s="28"/>
      <c r="M47" t="s">
        <v>291</v>
      </c>
      <c r="N47" s="1">
        <v>46042</v>
      </c>
      <c r="O47" t="s">
        <v>36</v>
      </c>
      <c r="P47" t="s">
        <v>7</v>
      </c>
      <c r="Q47" t="s">
        <v>12</v>
      </c>
      <c r="R47" t="s">
        <v>1</v>
      </c>
      <c r="S47" t="str">
        <f>IF(S32="Unknown","High",S32)</f>
        <v>Medium</v>
      </c>
    </row>
    <row r="48" spans="1:22" ht="15" customHeight="1">
      <c r="M48" t="s">
        <v>81</v>
      </c>
      <c r="N48" s="1">
        <v>45715</v>
      </c>
      <c r="O48" t="s">
        <v>27</v>
      </c>
      <c r="P48" t="str">
        <f>IF(P32="Unknown","Hodan",P32)</f>
        <v>Yaqshid</v>
      </c>
      <c r="Q48" t="s">
        <v>2</v>
      </c>
      <c r="R48" t="s">
        <v>47</v>
      </c>
      <c r="S48" t="s">
        <v>15</v>
      </c>
    </row>
    <row r="49" spans="1:19" ht="18" customHeight="1">
      <c r="A49" s="26" t="s">
        <v>377</v>
      </c>
      <c r="B49" s="19"/>
      <c r="C49" s="19"/>
      <c r="M49" t="s">
        <v>212</v>
      </c>
      <c r="N49" s="1">
        <v>45871</v>
      </c>
      <c r="O49" t="s">
        <v>27</v>
      </c>
      <c r="P49" t="s">
        <v>13</v>
      </c>
      <c r="Q49" t="s">
        <v>2</v>
      </c>
      <c r="R49" t="s">
        <v>16</v>
      </c>
      <c r="S49" t="s">
        <v>15</v>
      </c>
    </row>
    <row r="50" spans="1:19" ht="15" customHeight="1">
      <c r="A50" s="27" t="s">
        <v>375</v>
      </c>
      <c r="B50" s="27" t="s">
        <v>376</v>
      </c>
      <c r="M50" t="s">
        <v>132</v>
      </c>
      <c r="N50" s="1">
        <v>46178</v>
      </c>
      <c r="O50" t="s">
        <v>8</v>
      </c>
      <c r="P50" t="s">
        <v>21</v>
      </c>
      <c r="Q50" t="s">
        <v>2</v>
      </c>
      <c r="R50" t="s">
        <v>11</v>
      </c>
      <c r="S50" t="s">
        <v>6</v>
      </c>
    </row>
    <row r="51" spans="1:19" ht="15" customHeight="1">
      <c r="A51" s="23" t="s">
        <v>378</v>
      </c>
      <c r="B51" s="24">
        <f ca="1">TODAY()</f>
        <v>46260</v>
      </c>
      <c r="C51" s="28"/>
      <c r="M51" t="s">
        <v>269</v>
      </c>
      <c r="N51" s="1">
        <f>IF(N2="Unknown",MEDIAN($B$2:$B$292),N2)</f>
        <v>46215</v>
      </c>
      <c r="O51" t="s">
        <v>36</v>
      </c>
      <c r="P51" t="s">
        <v>7</v>
      </c>
      <c r="Q51" t="s">
        <v>2</v>
      </c>
      <c r="R51" t="s">
        <v>1</v>
      </c>
      <c r="S51" t="s">
        <v>6</v>
      </c>
    </row>
    <row r="52" spans="1:19" ht="15" customHeight="1">
      <c r="A52" s="23" t="s">
        <v>379</v>
      </c>
      <c r="B52" s="30">
        <f ca="1">NOW()</f>
        <v>46260.412927893522</v>
      </c>
      <c r="C52" s="28"/>
      <c r="M52" t="s">
        <v>61</v>
      </c>
      <c r="N52" s="1">
        <v>46149</v>
      </c>
      <c r="O52" t="s">
        <v>27</v>
      </c>
      <c r="P52" t="s">
        <v>7</v>
      </c>
      <c r="Q52" t="s">
        <v>2</v>
      </c>
      <c r="R52" t="s">
        <v>11</v>
      </c>
      <c r="S52" t="s">
        <v>15</v>
      </c>
    </row>
    <row r="53" spans="1:19" ht="15" customHeight="1">
      <c r="A53" s="23" t="s">
        <v>380</v>
      </c>
      <c r="B53" s="24">
        <f>MIN(N2:N301)</f>
        <v>45664</v>
      </c>
      <c r="C53" s="28"/>
      <c r="M53" t="s">
        <v>192</v>
      </c>
      <c r="N53" s="1">
        <f>IF(N2="Unknown",MEDIAN($B$2:$B$292),N2)</f>
        <v>46215</v>
      </c>
      <c r="O53" t="s">
        <v>27</v>
      </c>
      <c r="P53" t="s">
        <v>13</v>
      </c>
      <c r="Q53" t="s">
        <v>2</v>
      </c>
      <c r="R53" t="s">
        <v>16</v>
      </c>
      <c r="S53" t="s">
        <v>15</v>
      </c>
    </row>
    <row r="54" spans="1:19" ht="15" customHeight="1">
      <c r="A54" s="23" t="s">
        <v>381</v>
      </c>
      <c r="B54" s="24">
        <f>MAX(N2:N301)</f>
        <v>46234</v>
      </c>
      <c r="C54" s="28"/>
      <c r="M54" t="s">
        <v>91</v>
      </c>
      <c r="N54" s="1">
        <v>46056</v>
      </c>
      <c r="O54" t="s">
        <v>31</v>
      </c>
      <c r="P54" t="s">
        <v>7</v>
      </c>
      <c r="Q54" t="s">
        <v>2</v>
      </c>
      <c r="R54" t="s">
        <v>16</v>
      </c>
      <c r="S54" t="s">
        <v>15</v>
      </c>
    </row>
    <row r="55" spans="1:19" ht="15" customHeight="1">
      <c r="A55" s="23" t="s">
        <v>382</v>
      </c>
      <c r="B55" s="23">
        <f>DAY(MAX(N2:N301))</f>
        <v>31</v>
      </c>
      <c r="C55" s="28"/>
      <c r="M55" t="s">
        <v>271</v>
      </c>
      <c r="N55" s="1">
        <f>IF(N2="Unknown",MEDIAN($B$2:$B$292),N2)</f>
        <v>46215</v>
      </c>
      <c r="O55" t="str" cm="1">
        <f t="array" ref="O55">IF(O33="Unknown",INDEX(O$2:O$292,MODE(MATCH(O$2:O$292,O$2:O$292,0))),O33)</f>
        <v>Theft</v>
      </c>
      <c r="P55" t="s">
        <v>21</v>
      </c>
      <c r="Q55" t="s">
        <v>2</v>
      </c>
      <c r="R55" t="s">
        <v>16</v>
      </c>
      <c r="S55" t="s">
        <v>6</v>
      </c>
    </row>
    <row r="56" spans="1:19" ht="15" customHeight="1">
      <c r="A56" s="23" t="s">
        <v>383</v>
      </c>
      <c r="B56" s="23">
        <f>MONTH(MAX(N2:N293))</f>
        <v>7</v>
      </c>
      <c r="C56" s="28"/>
      <c r="M56" t="s">
        <v>104</v>
      </c>
      <c r="N56" s="1">
        <v>46035</v>
      </c>
      <c r="O56" t="s">
        <v>31</v>
      </c>
      <c r="P56" t="s">
        <v>3</v>
      </c>
      <c r="Q56" t="s">
        <v>12</v>
      </c>
      <c r="R56" t="s">
        <v>1</v>
      </c>
      <c r="S56" t="s">
        <v>15</v>
      </c>
    </row>
    <row r="57" spans="1:19" ht="15" customHeight="1">
      <c r="A57" s="23" t="s">
        <v>384</v>
      </c>
      <c r="B57" s="23">
        <f>YEAR(MAX(N2:N301))</f>
        <v>2026</v>
      </c>
      <c r="C57" s="28"/>
      <c r="M57" t="s">
        <v>280</v>
      </c>
      <c r="N57" s="1">
        <v>46136</v>
      </c>
      <c r="O57" t="s">
        <v>36</v>
      </c>
      <c r="P57" t="s">
        <v>3</v>
      </c>
      <c r="Q57" t="s">
        <v>30</v>
      </c>
      <c r="R57" t="s">
        <v>1</v>
      </c>
      <c r="S57" t="s">
        <v>6</v>
      </c>
    </row>
    <row r="58" spans="1:19" ht="15" customHeight="1">
      <c r="A58" s="23" t="s">
        <v>385</v>
      </c>
      <c r="B58" s="24">
        <f>DATE(2026,8,26)</f>
        <v>46260</v>
      </c>
      <c r="C58" s="28"/>
      <c r="M58" t="s">
        <v>288</v>
      </c>
      <c r="N58" s="1">
        <v>46068</v>
      </c>
      <c r="O58" t="s">
        <v>8</v>
      </c>
      <c r="P58" t="s">
        <v>3</v>
      </c>
      <c r="Q58" t="s">
        <v>12</v>
      </c>
      <c r="R58" t="s">
        <v>1</v>
      </c>
      <c r="S58" t="s">
        <v>6</v>
      </c>
    </row>
    <row r="59" spans="1:19" ht="15" customHeight="1">
      <c r="A59" s="23"/>
      <c r="B59" s="23"/>
      <c r="C59" s="28"/>
      <c r="M59" t="s">
        <v>218</v>
      </c>
      <c r="N59" s="1">
        <v>45679</v>
      </c>
      <c r="O59" t="s">
        <v>4</v>
      </c>
      <c r="P59" t="s">
        <v>3</v>
      </c>
      <c r="Q59" t="s">
        <v>12</v>
      </c>
      <c r="R59" t="s">
        <v>1</v>
      </c>
      <c r="S59" t="s">
        <v>10</v>
      </c>
    </row>
    <row r="60" spans="1:19" ht="15" customHeight="1">
      <c r="M60" t="s">
        <v>93</v>
      </c>
      <c r="N60" s="1">
        <v>46050</v>
      </c>
      <c r="O60" t="s">
        <v>36</v>
      </c>
      <c r="P60" t="s">
        <v>33</v>
      </c>
      <c r="Q60" t="s">
        <v>2</v>
      </c>
      <c r="R60" t="s">
        <v>11</v>
      </c>
      <c r="S60" t="s">
        <v>6</v>
      </c>
    </row>
    <row r="61" spans="1:19" ht="18" customHeight="1">
      <c r="A61" s="26" t="s">
        <v>386</v>
      </c>
      <c r="B61" s="19"/>
      <c r="C61" s="19"/>
      <c r="M61" t="s">
        <v>75</v>
      </c>
      <c r="N61" s="1">
        <v>45860</v>
      </c>
      <c r="O61" t="s">
        <v>22</v>
      </c>
      <c r="P61" t="s">
        <v>7</v>
      </c>
      <c r="Q61" t="s">
        <v>12</v>
      </c>
      <c r="R61" t="s">
        <v>11</v>
      </c>
      <c r="S61" t="s">
        <v>15</v>
      </c>
    </row>
    <row r="62" spans="1:19" ht="15" customHeight="1">
      <c r="A62" s="27" t="s">
        <v>387</v>
      </c>
      <c r="B62" s="27" t="s">
        <v>376</v>
      </c>
      <c r="M62" t="s">
        <v>205</v>
      </c>
      <c r="N62" s="1">
        <v>45764</v>
      </c>
      <c r="O62" t="s">
        <v>8</v>
      </c>
      <c r="P62" t="s">
        <v>26</v>
      </c>
      <c r="Q62" t="s">
        <v>2</v>
      </c>
      <c r="R62" t="s">
        <v>1</v>
      </c>
      <c r="S62" t="s">
        <v>6</v>
      </c>
    </row>
    <row r="63" spans="1:19" ht="15" customHeight="1">
      <c r="A63" s="23" t="s">
        <v>388</v>
      </c>
      <c r="B63" s="23" t="str">
        <f>LEFT(M2,3)</f>
        <v>CRM</v>
      </c>
      <c r="C63" s="28"/>
      <c r="M63" t="s">
        <v>131</v>
      </c>
      <c r="N63" s="1">
        <v>45772</v>
      </c>
      <c r="O63" t="s">
        <v>27</v>
      </c>
      <c r="P63" t="s">
        <v>7</v>
      </c>
      <c r="Q63" t="s">
        <v>2</v>
      </c>
      <c r="R63" t="s">
        <v>1</v>
      </c>
      <c r="S63" t="s">
        <v>15</v>
      </c>
    </row>
    <row r="64" spans="1:19" ht="15" customHeight="1">
      <c r="A64" s="23" t="s">
        <v>389</v>
      </c>
      <c r="B64" s="23" t="str">
        <f>RIGHT(M2,5)</f>
        <v>RM001</v>
      </c>
      <c r="C64" s="28"/>
      <c r="M64" t="s">
        <v>295</v>
      </c>
      <c r="N64" s="1">
        <v>46178</v>
      </c>
      <c r="O64" t="s">
        <v>27</v>
      </c>
      <c r="P64" t="s">
        <v>33</v>
      </c>
      <c r="Q64" t="s">
        <v>2</v>
      </c>
      <c r="R64" t="s">
        <v>16</v>
      </c>
      <c r="S64" t="s">
        <v>15</v>
      </c>
    </row>
    <row r="65" spans="1:19" ht="15" customHeight="1">
      <c r="A65" s="23" t="s">
        <v>390</v>
      </c>
      <c r="B65" s="23">
        <f>LEN(M2)</f>
        <v>6</v>
      </c>
      <c r="C65" s="28"/>
      <c r="M65" t="s">
        <v>303</v>
      </c>
      <c r="N65" s="1">
        <v>46080</v>
      </c>
      <c r="O65" t="s">
        <v>36</v>
      </c>
      <c r="P65" t="s">
        <v>3</v>
      </c>
      <c r="Q65" t="s">
        <v>12</v>
      </c>
      <c r="R65" t="s">
        <v>11</v>
      </c>
      <c r="S65" t="s">
        <v>6</v>
      </c>
    </row>
    <row r="66" spans="1:19" ht="15" customHeight="1">
      <c r="A66" s="23" t="s">
        <v>391</v>
      </c>
      <c r="B66" s="23" t="str">
        <f>UPPER(P2)</f>
        <v>WABERI</v>
      </c>
      <c r="C66" s="28"/>
      <c r="M66" t="s">
        <v>215</v>
      </c>
      <c r="N66" s="1">
        <v>45719</v>
      </c>
      <c r="O66" t="s">
        <v>4</v>
      </c>
      <c r="P66" t="s">
        <v>3</v>
      </c>
      <c r="Q66" t="s">
        <v>12</v>
      </c>
      <c r="R66" t="s">
        <v>11</v>
      </c>
      <c r="S66" t="str">
        <f>IF(S51="Unknown","High",S51)</f>
        <v>High</v>
      </c>
    </row>
    <row r="67" spans="1:19" ht="15" customHeight="1">
      <c r="A67" s="23" t="s">
        <v>392</v>
      </c>
      <c r="B67" s="23" t="str">
        <f>O2&amp;" - "&amp;P2</f>
        <v>Assault - Waberi</v>
      </c>
      <c r="C67" s="28"/>
      <c r="M67" t="s">
        <v>204</v>
      </c>
      <c r="N67" s="1">
        <v>46144</v>
      </c>
      <c r="O67" t="s">
        <v>8</v>
      </c>
      <c r="P67" t="s">
        <v>21</v>
      </c>
      <c r="Q67" t="s">
        <v>12</v>
      </c>
      <c r="R67" t="s">
        <v>1</v>
      </c>
      <c r="S67" t="s">
        <v>6</v>
      </c>
    </row>
    <row r="68" spans="1:19" ht="15" customHeight="1">
      <c r="M68" t="s">
        <v>241</v>
      </c>
      <c r="N68" s="1">
        <v>46092</v>
      </c>
      <c r="O68" t="s">
        <v>27</v>
      </c>
      <c r="P68" t="s">
        <v>7</v>
      </c>
      <c r="Q68" t="s">
        <v>12</v>
      </c>
      <c r="R68" t="s">
        <v>1</v>
      </c>
      <c r="S68" t="s">
        <v>15</v>
      </c>
    </row>
    <row r="69" spans="1:19" ht="15" customHeight="1">
      <c r="A69" s="23"/>
      <c r="B69" s="23"/>
      <c r="C69" s="28"/>
      <c r="M69" t="s">
        <v>273</v>
      </c>
      <c r="N69" s="1">
        <v>45761</v>
      </c>
      <c r="O69" t="s">
        <v>4</v>
      </c>
      <c r="P69" t="s">
        <v>13</v>
      </c>
      <c r="Q69" t="s">
        <v>2</v>
      </c>
      <c r="R69" t="s">
        <v>16</v>
      </c>
      <c r="S69" t="s">
        <v>10</v>
      </c>
    </row>
    <row r="70" spans="1:19" ht="15" customHeight="1">
      <c r="A70" s="23"/>
      <c r="B70" s="23"/>
      <c r="C70" s="28"/>
      <c r="M70" t="s">
        <v>144</v>
      </c>
      <c r="N70" s="1">
        <v>45944</v>
      </c>
      <c r="O70" t="s">
        <v>36</v>
      </c>
      <c r="P70" t="s">
        <v>7</v>
      </c>
      <c r="Q70" t="s">
        <v>2</v>
      </c>
      <c r="R70" t="s">
        <v>1</v>
      </c>
      <c r="S70" t="str">
        <f>IF(S55="Unknown","High",S55)</f>
        <v>High</v>
      </c>
    </row>
    <row r="71" spans="1:19" ht="15" customHeight="1">
      <c r="M71" t="s">
        <v>184</v>
      </c>
      <c r="N71" s="1">
        <v>45743</v>
      </c>
      <c r="O71" t="str" cm="1">
        <f t="array" ref="O71">IF(O2="Unknown",INDEX(O$2:O$292,MODE(MATCH(O$2:O$292,O$2:O$292,0))),O2)</f>
        <v>Assault</v>
      </c>
      <c r="P71" t="s">
        <v>26</v>
      </c>
      <c r="Q71" t="s">
        <v>2</v>
      </c>
      <c r="R71" t="s">
        <v>1</v>
      </c>
      <c r="S71" t="s">
        <v>6</v>
      </c>
    </row>
    <row r="72" spans="1:19" ht="15" customHeight="1">
      <c r="A72" s="31"/>
      <c r="M72" t="s">
        <v>68</v>
      </c>
      <c r="N72" s="1">
        <v>46055</v>
      </c>
      <c r="O72" t="s">
        <v>36</v>
      </c>
      <c r="P72" t="s">
        <v>3</v>
      </c>
      <c r="Q72" t="s">
        <v>2</v>
      </c>
      <c r="R72" t="s">
        <v>1</v>
      </c>
      <c r="S72" t="s">
        <v>6</v>
      </c>
    </row>
    <row r="73" spans="1:19" ht="15" customHeight="1">
      <c r="M73" t="s">
        <v>211</v>
      </c>
      <c r="N73" s="1">
        <v>45731</v>
      </c>
      <c r="O73" t="s">
        <v>31</v>
      </c>
      <c r="P73" t="s">
        <v>3</v>
      </c>
      <c r="Q73" t="s">
        <v>2</v>
      </c>
      <c r="R73" t="s">
        <v>1</v>
      </c>
      <c r="S73" t="s">
        <v>55</v>
      </c>
    </row>
    <row r="74" spans="1:19" ht="15" customHeight="1">
      <c r="M74" t="s">
        <v>290</v>
      </c>
      <c r="N74" s="1">
        <v>45712</v>
      </c>
      <c r="O74" t="s">
        <v>27</v>
      </c>
      <c r="P74" t="str">
        <f>IF(P58="Unknown","Hodan",P58)</f>
        <v>Hodan</v>
      </c>
      <c r="Q74" t="s">
        <v>2</v>
      </c>
      <c r="R74" t="s">
        <v>47</v>
      </c>
      <c r="S74" t="s">
        <v>15</v>
      </c>
    </row>
    <row r="75" spans="1:19" ht="15" customHeight="1">
      <c r="M75" t="s">
        <v>279</v>
      </c>
      <c r="N75" s="1">
        <f>IF(N2="Unknown",MEDIAN($B$2:$B$292),N2)</f>
        <v>46215</v>
      </c>
      <c r="O75" t="s">
        <v>4</v>
      </c>
      <c r="P75" t="s">
        <v>33</v>
      </c>
      <c r="Q75" t="s">
        <v>30</v>
      </c>
      <c r="R75" t="s">
        <v>1</v>
      </c>
      <c r="S75" t="s">
        <v>10</v>
      </c>
    </row>
    <row r="76" spans="1:19" ht="15" customHeight="1">
      <c r="M76" t="s">
        <v>190</v>
      </c>
      <c r="N76" s="1">
        <v>45900</v>
      </c>
      <c r="O76" t="s">
        <v>36</v>
      </c>
      <c r="P76" t="s">
        <v>33</v>
      </c>
      <c r="Q76" t="s">
        <v>2</v>
      </c>
      <c r="R76" t="s">
        <v>1</v>
      </c>
      <c r="S76" t="s">
        <v>6</v>
      </c>
    </row>
    <row r="77" spans="1:19" ht="15" customHeight="1">
      <c r="M77" t="s">
        <v>100</v>
      </c>
      <c r="N77" s="1">
        <v>46074</v>
      </c>
      <c r="O77" t="s">
        <v>31</v>
      </c>
      <c r="P77" t="s">
        <v>7</v>
      </c>
      <c r="Q77" t="s">
        <v>2</v>
      </c>
      <c r="R77" t="s">
        <v>1</v>
      </c>
      <c r="S77" t="s">
        <v>15</v>
      </c>
    </row>
    <row r="78" spans="1:19" ht="15" customHeight="1">
      <c r="M78" t="s">
        <v>244</v>
      </c>
      <c r="N78" s="1">
        <v>45834</v>
      </c>
      <c r="O78" t="s">
        <v>27</v>
      </c>
      <c r="P78" t="s">
        <v>13</v>
      </c>
      <c r="Q78" t="s">
        <v>30</v>
      </c>
      <c r="R78" t="str" cm="1">
        <f t="array" ref="R78">IF(R60="Unknown",INDEX(R$2:R$292,MODE(MATCH(R$2:R$292,R$2:R$292,0))),R60)</f>
        <v>Under Investigation</v>
      </c>
      <c r="S78" t="s">
        <v>15</v>
      </c>
    </row>
    <row r="79" spans="1:19" ht="15" customHeight="1">
      <c r="A79" s="32"/>
      <c r="M79" t="s">
        <v>37</v>
      </c>
      <c r="N79" s="1">
        <v>45882</v>
      </c>
      <c r="O79" t="s">
        <v>36</v>
      </c>
      <c r="P79" t="s">
        <v>13</v>
      </c>
      <c r="Q79" t="s">
        <v>12</v>
      </c>
      <c r="R79" t="s">
        <v>11</v>
      </c>
      <c r="S79" t="s">
        <v>6</v>
      </c>
    </row>
    <row r="80" spans="1:19" ht="15" customHeight="1">
      <c r="A80" s="32"/>
      <c r="M80" t="s">
        <v>140</v>
      </c>
      <c r="N80" s="1">
        <v>46167</v>
      </c>
      <c r="O80" t="s">
        <v>31</v>
      </c>
      <c r="P80" t="s">
        <v>7</v>
      </c>
      <c r="Q80" t="s">
        <v>12</v>
      </c>
      <c r="R80" t="s">
        <v>16</v>
      </c>
      <c r="S80" t="s">
        <v>15</v>
      </c>
    </row>
    <row r="81" spans="1:19" ht="15" customHeight="1">
      <c r="A81" s="32"/>
      <c r="M81" t="s">
        <v>99</v>
      </c>
      <c r="N81" s="1">
        <v>46108</v>
      </c>
      <c r="O81" t="s">
        <v>31</v>
      </c>
      <c r="P81" t="s">
        <v>13</v>
      </c>
      <c r="Q81" t="s">
        <v>30</v>
      </c>
      <c r="R81" t="s">
        <v>11</v>
      </c>
      <c r="S81" t="s">
        <v>15</v>
      </c>
    </row>
    <row r="82" spans="1:19" ht="15" customHeight="1">
      <c r="A82" s="32"/>
      <c r="M82" t="s">
        <v>267</v>
      </c>
      <c r="N82" s="1">
        <v>45964</v>
      </c>
      <c r="O82" t="s">
        <v>4</v>
      </c>
      <c r="P82" t="s">
        <v>7</v>
      </c>
      <c r="Q82" t="s">
        <v>2</v>
      </c>
      <c r="R82" t="s">
        <v>1</v>
      </c>
      <c r="S82" t="s">
        <v>10</v>
      </c>
    </row>
    <row r="83" spans="1:19" ht="15" customHeight="1">
      <c r="A83" s="32"/>
      <c r="M83" t="s">
        <v>80</v>
      </c>
      <c r="N83" s="1">
        <v>45736</v>
      </c>
      <c r="O83" t="s">
        <v>36</v>
      </c>
      <c r="P83" t="s">
        <v>33</v>
      </c>
      <c r="Q83" t="s">
        <v>2</v>
      </c>
      <c r="R83" t="s">
        <v>1</v>
      </c>
      <c r="S83" t="s">
        <v>6</v>
      </c>
    </row>
    <row r="84" spans="1:19" ht="15" customHeight="1">
      <c r="A84" s="32"/>
      <c r="M84" t="s">
        <v>46</v>
      </c>
      <c r="N84" s="1">
        <v>46225</v>
      </c>
      <c r="O84" t="s">
        <v>31</v>
      </c>
      <c r="P84" t="str">
        <f>IF(P68="Unknown","Hodan",P68)</f>
        <v>Wadajir</v>
      </c>
      <c r="Q84" t="s">
        <v>12</v>
      </c>
      <c r="R84" t="s">
        <v>11</v>
      </c>
      <c r="S84" t="s">
        <v>15</v>
      </c>
    </row>
    <row r="85" spans="1:19" ht="15" customHeight="1">
      <c r="M85" t="s">
        <v>214</v>
      </c>
      <c r="N85" s="1">
        <v>46147</v>
      </c>
      <c r="O85" t="s">
        <v>27</v>
      </c>
      <c r="P85" t="s">
        <v>7</v>
      </c>
      <c r="Q85" t="s">
        <v>12</v>
      </c>
      <c r="R85" t="s">
        <v>16</v>
      </c>
      <c r="S85" t="s">
        <v>15</v>
      </c>
    </row>
    <row r="86" spans="1:19" ht="15" customHeight="1">
      <c r="M86" t="s">
        <v>258</v>
      </c>
      <c r="N86" s="1">
        <f>IF(N2="Unknown",MEDIAN($B$2:$B$292),N2)</f>
        <v>46215</v>
      </c>
      <c r="O86" t="s">
        <v>27</v>
      </c>
      <c r="P86" t="s">
        <v>3</v>
      </c>
      <c r="Q86" t="s">
        <v>2</v>
      </c>
      <c r="R86" t="s">
        <v>1</v>
      </c>
      <c r="S86" t="s">
        <v>15</v>
      </c>
    </row>
    <row r="87" spans="1:19" ht="15" customHeight="1">
      <c r="M87" t="s">
        <v>69</v>
      </c>
      <c r="N87" s="1">
        <v>45667</v>
      </c>
      <c r="O87" t="s">
        <v>27</v>
      </c>
      <c r="P87" t="s">
        <v>33</v>
      </c>
      <c r="Q87" t="s">
        <v>2</v>
      </c>
      <c r="R87" t="s">
        <v>1</v>
      </c>
      <c r="S87" t="s">
        <v>15</v>
      </c>
    </row>
    <row r="88" spans="1:19" ht="15" customHeight="1">
      <c r="M88" t="s">
        <v>172</v>
      </c>
      <c r="N88" s="1">
        <v>46019</v>
      </c>
      <c r="O88" t="s">
        <v>31</v>
      </c>
      <c r="P88" t="s">
        <v>26</v>
      </c>
      <c r="Q88" t="s">
        <v>30</v>
      </c>
      <c r="R88" t="s">
        <v>11</v>
      </c>
      <c r="S88" t="s">
        <v>15</v>
      </c>
    </row>
    <row r="89" spans="1:19" ht="15" customHeight="1">
      <c r="M89" t="s">
        <v>119</v>
      </c>
      <c r="N89" s="1">
        <v>46060</v>
      </c>
      <c r="O89" t="s">
        <v>36</v>
      </c>
      <c r="P89" t="s">
        <v>3</v>
      </c>
      <c r="Q89" t="s">
        <v>2</v>
      </c>
      <c r="R89" t="s">
        <v>16</v>
      </c>
      <c r="S89" t="s">
        <v>6</v>
      </c>
    </row>
    <row r="90" spans="1:19" ht="15" customHeight="1">
      <c r="M90" t="s">
        <v>107</v>
      </c>
      <c r="N90" s="1">
        <v>46073</v>
      </c>
      <c r="O90" t="s">
        <v>31</v>
      </c>
      <c r="P90" t="s">
        <v>26</v>
      </c>
      <c r="Q90" t="s">
        <v>12</v>
      </c>
      <c r="R90" t="s">
        <v>1</v>
      </c>
      <c r="S90" t="s">
        <v>15</v>
      </c>
    </row>
    <row r="91" spans="1:19" ht="15" customHeight="1">
      <c r="M91" t="s">
        <v>50</v>
      </c>
      <c r="N91" s="1">
        <v>45902</v>
      </c>
      <c r="O91" t="s">
        <v>27</v>
      </c>
      <c r="P91" t="s">
        <v>3</v>
      </c>
      <c r="Q91" t="s">
        <v>2</v>
      </c>
      <c r="R91" t="s">
        <v>1</v>
      </c>
      <c r="S91" t="s">
        <v>15</v>
      </c>
    </row>
    <row r="92" spans="1:19" ht="15" customHeight="1">
      <c r="M92" t="s">
        <v>49</v>
      </c>
      <c r="N92" s="1">
        <v>45697</v>
      </c>
      <c r="O92" t="s">
        <v>36</v>
      </c>
      <c r="P92" t="s">
        <v>3</v>
      </c>
      <c r="Q92" t="s">
        <v>2</v>
      </c>
      <c r="R92" t="s">
        <v>1</v>
      </c>
      <c r="S92" t="s">
        <v>6</v>
      </c>
    </row>
    <row r="93" spans="1:19" ht="15" customHeight="1">
      <c r="M93" t="s">
        <v>285</v>
      </c>
      <c r="N93" s="1">
        <v>46167</v>
      </c>
      <c r="O93" t="str" cm="1">
        <f t="array" ref="O93">IF(O71="Unknown",INDEX(O$2:O$292,MODE(MATCH(O$2:O$292,O$2:O$292,0))),O71)</f>
        <v>Assault</v>
      </c>
      <c r="P93" t="s">
        <v>21</v>
      </c>
      <c r="Q93" t="s">
        <v>2</v>
      </c>
      <c r="R93" t="s">
        <v>1</v>
      </c>
      <c r="S93" t="s">
        <v>6</v>
      </c>
    </row>
    <row r="94" spans="1:19" ht="15" customHeight="1">
      <c r="M94" t="s">
        <v>275</v>
      </c>
      <c r="N94" s="1">
        <v>45853</v>
      </c>
      <c r="O94" t="s">
        <v>31</v>
      </c>
      <c r="P94" t="s">
        <v>33</v>
      </c>
      <c r="Q94" t="s">
        <v>12</v>
      </c>
      <c r="R94" t="s">
        <v>11</v>
      </c>
      <c r="S94" t="s">
        <v>15</v>
      </c>
    </row>
    <row r="95" spans="1:19" ht="15" customHeight="1">
      <c r="M95" t="s">
        <v>208</v>
      </c>
      <c r="N95" s="1">
        <v>45869</v>
      </c>
      <c r="O95" t="s">
        <v>36</v>
      </c>
      <c r="P95" t="s">
        <v>33</v>
      </c>
      <c r="Q95" t="s">
        <v>2</v>
      </c>
      <c r="R95" t="s">
        <v>16</v>
      </c>
      <c r="S95" t="s">
        <v>6</v>
      </c>
    </row>
    <row r="96" spans="1:19" ht="15" customHeight="1">
      <c r="M96" t="s">
        <v>287</v>
      </c>
      <c r="N96" s="1">
        <f>IF(N2="Unknown",MEDIAN($B$2:$B$292),N2)</f>
        <v>46215</v>
      </c>
      <c r="O96" t="s">
        <v>36</v>
      </c>
      <c r="P96" t="s">
        <v>7</v>
      </c>
      <c r="Q96" t="s">
        <v>2</v>
      </c>
      <c r="R96" t="s">
        <v>16</v>
      </c>
      <c r="S96" t="s">
        <v>6</v>
      </c>
    </row>
    <row r="97" spans="13:19" ht="15" customHeight="1">
      <c r="M97" t="s">
        <v>152</v>
      </c>
      <c r="N97" s="1">
        <v>45923</v>
      </c>
      <c r="O97" t="s">
        <v>31</v>
      </c>
      <c r="P97" t="s">
        <v>3</v>
      </c>
      <c r="Q97" t="s">
        <v>2</v>
      </c>
      <c r="R97" t="s">
        <v>1</v>
      </c>
      <c r="S97" t="s">
        <v>15</v>
      </c>
    </row>
    <row r="98" spans="13:19" ht="15" customHeight="1">
      <c r="M98" t="s">
        <v>237</v>
      </c>
      <c r="N98" s="1">
        <v>45975</v>
      </c>
      <c r="O98" t="s">
        <v>27</v>
      </c>
      <c r="P98" t="str">
        <f>IF(P82="Unknown","Hodan",P82)</f>
        <v>Wadajir</v>
      </c>
      <c r="Q98" t="s">
        <v>2</v>
      </c>
      <c r="R98" t="s">
        <v>236</v>
      </c>
      <c r="S98" t="s">
        <v>15</v>
      </c>
    </row>
    <row r="99" spans="13:19" ht="15" customHeight="1">
      <c r="M99" t="s">
        <v>293</v>
      </c>
      <c r="N99" s="1">
        <v>45755</v>
      </c>
      <c r="O99" t="str" cm="1">
        <f t="array" ref="O99">IF(O77="Unknown",INDEX(O$2:O$292,MODE(MATCH(O$2:O$292,O$2:O$292,0))),O77)</f>
        <v>Fraud</v>
      </c>
      <c r="P99" t="s">
        <v>33</v>
      </c>
      <c r="Q99" t="s">
        <v>12</v>
      </c>
      <c r="R99" t="s">
        <v>1</v>
      </c>
      <c r="S99" t="s">
        <v>6</v>
      </c>
    </row>
    <row r="100" spans="13:19" ht="15" customHeight="1">
      <c r="M100" t="s">
        <v>53</v>
      </c>
      <c r="N100" s="1">
        <v>45833</v>
      </c>
      <c r="O100" t="str" cm="1">
        <f t="array" ref="O100">IF(O78="Unknown",INDEX(O$2:O$292,MODE(MATCH(O$2:O$292,O$2:O$292,0))),O78)</f>
        <v>Theft</v>
      </c>
      <c r="P100" t="s">
        <v>3</v>
      </c>
      <c r="Q100" t="s">
        <v>12</v>
      </c>
      <c r="R100" t="s">
        <v>11</v>
      </c>
      <c r="S100" t="s">
        <v>6</v>
      </c>
    </row>
    <row r="101" spans="13:19" ht="15" customHeight="1">
      <c r="M101" t="s">
        <v>153</v>
      </c>
      <c r="N101" s="1">
        <v>45924</v>
      </c>
      <c r="O101" t="s">
        <v>8</v>
      </c>
      <c r="P101" t="s">
        <v>21</v>
      </c>
      <c r="Q101" t="s">
        <v>315</v>
      </c>
      <c r="R101" t="s">
        <v>11</v>
      </c>
      <c r="S101" t="s">
        <v>6</v>
      </c>
    </row>
    <row r="102" spans="13:19" ht="15" customHeight="1">
      <c r="M102" t="s">
        <v>72</v>
      </c>
      <c r="N102" s="1">
        <v>46103</v>
      </c>
      <c r="O102" t="s">
        <v>31</v>
      </c>
      <c r="P102" t="s">
        <v>33</v>
      </c>
      <c r="Q102" t="s">
        <v>2</v>
      </c>
      <c r="R102" t="s">
        <v>1</v>
      </c>
      <c r="S102" t="s">
        <v>15</v>
      </c>
    </row>
    <row r="103" spans="13:19" ht="15" customHeight="1">
      <c r="M103" t="s">
        <v>66</v>
      </c>
      <c r="N103" s="1">
        <v>46123</v>
      </c>
      <c r="O103" t="s">
        <v>36</v>
      </c>
      <c r="P103" t="s">
        <v>33</v>
      </c>
      <c r="Q103" t="s">
        <v>12</v>
      </c>
      <c r="R103" t="s">
        <v>1</v>
      </c>
      <c r="S103" t="s">
        <v>6</v>
      </c>
    </row>
    <row r="104" spans="13:19" ht="15" customHeight="1">
      <c r="M104" t="s">
        <v>186</v>
      </c>
      <c r="N104" s="1">
        <v>45880</v>
      </c>
      <c r="O104" t="s">
        <v>36</v>
      </c>
      <c r="P104" t="s">
        <v>21</v>
      </c>
      <c r="Q104" t="s">
        <v>12</v>
      </c>
      <c r="R104" t="s">
        <v>16</v>
      </c>
      <c r="S104" t="s">
        <v>6</v>
      </c>
    </row>
    <row r="105" spans="13:19" ht="15" customHeight="1">
      <c r="M105" t="s">
        <v>102</v>
      </c>
      <c r="N105" s="1">
        <v>46198</v>
      </c>
      <c r="O105" t="s">
        <v>27</v>
      </c>
      <c r="P105" t="s">
        <v>13</v>
      </c>
      <c r="Q105" t="s">
        <v>30</v>
      </c>
      <c r="R105" t="s">
        <v>11</v>
      </c>
      <c r="S105" t="s">
        <v>15</v>
      </c>
    </row>
    <row r="106" spans="13:19" ht="15" customHeight="1">
      <c r="M106" t="s">
        <v>40</v>
      </c>
      <c r="N106" s="1">
        <v>46137</v>
      </c>
      <c r="O106" t="s">
        <v>8</v>
      </c>
      <c r="P106" t="s">
        <v>21</v>
      </c>
      <c r="Q106" t="s">
        <v>315</v>
      </c>
      <c r="R106" t="s">
        <v>1</v>
      </c>
      <c r="S106" t="s">
        <v>6</v>
      </c>
    </row>
    <row r="107" spans="13:19" ht="15" customHeight="1">
      <c r="M107" t="s">
        <v>89</v>
      </c>
      <c r="N107" s="1">
        <v>45714</v>
      </c>
      <c r="O107" t="s">
        <v>27</v>
      </c>
      <c r="P107" t="str">
        <f>IF(P91="Unknown","Hodan",P91)</f>
        <v>Hodan</v>
      </c>
      <c r="Q107" t="s">
        <v>2</v>
      </c>
      <c r="R107" t="s">
        <v>11</v>
      </c>
      <c r="S107" t="str">
        <f>IF(S92="Unknown","High",S92)</f>
        <v>High</v>
      </c>
    </row>
    <row r="108" spans="13:19" ht="15" customHeight="1">
      <c r="M108" t="s">
        <v>174</v>
      </c>
      <c r="N108" s="1">
        <v>45701</v>
      </c>
      <c r="O108" t="s">
        <v>22</v>
      </c>
      <c r="P108" t="s">
        <v>7</v>
      </c>
      <c r="Q108" t="s">
        <v>2</v>
      </c>
      <c r="R108" t="s">
        <v>1</v>
      </c>
      <c r="S108" t="s">
        <v>15</v>
      </c>
    </row>
    <row r="109" spans="13:19" ht="15" customHeight="1">
      <c r="M109" t="s">
        <v>226</v>
      </c>
      <c r="N109" s="1">
        <v>45831</v>
      </c>
      <c r="O109" t="s">
        <v>4</v>
      </c>
      <c r="P109" t="s">
        <v>3</v>
      </c>
      <c r="Q109" t="s">
        <v>30</v>
      </c>
      <c r="R109" t="s">
        <v>1</v>
      </c>
      <c r="S109" t="s">
        <v>10</v>
      </c>
    </row>
    <row r="110" spans="13:19" ht="15" customHeight="1">
      <c r="M110" t="s">
        <v>83</v>
      </c>
      <c r="N110" s="1">
        <v>46157</v>
      </c>
      <c r="O110" t="str" cm="1">
        <f t="array" ref="O110">IF(O88="Unknown",INDEX(O$2:O$292,MODE(MATCH(O$2:O$292,O$2:O$292,0))),O88)</f>
        <v>Fraud</v>
      </c>
      <c r="P110" t="s">
        <v>33</v>
      </c>
      <c r="Q110" t="s">
        <v>2</v>
      </c>
      <c r="R110" t="s">
        <v>1</v>
      </c>
      <c r="S110" t="s">
        <v>15</v>
      </c>
    </row>
    <row r="111" spans="13:19" ht="15" customHeight="1">
      <c r="M111" t="s">
        <v>304</v>
      </c>
      <c r="N111" s="1">
        <v>45705</v>
      </c>
      <c r="O111" t="s">
        <v>36</v>
      </c>
      <c r="P111" t="s">
        <v>7</v>
      </c>
      <c r="Q111" t="s">
        <v>2</v>
      </c>
      <c r="R111" t="s">
        <v>16</v>
      </c>
      <c r="S111" t="s">
        <v>6</v>
      </c>
    </row>
    <row r="112" spans="13:19" ht="15" customHeight="1">
      <c r="M112" t="s">
        <v>156</v>
      </c>
      <c r="N112" s="1">
        <v>46066</v>
      </c>
      <c r="O112" t="s">
        <v>22</v>
      </c>
      <c r="P112" t="s">
        <v>21</v>
      </c>
      <c r="Q112" t="s">
        <v>2</v>
      </c>
      <c r="R112" t="s">
        <v>1</v>
      </c>
      <c r="S112" t="s">
        <v>15</v>
      </c>
    </row>
    <row r="113" spans="13:19" ht="15" customHeight="1">
      <c r="M113" t="s">
        <v>160</v>
      </c>
      <c r="N113" s="1">
        <v>45727</v>
      </c>
      <c r="O113" t="s">
        <v>36</v>
      </c>
      <c r="P113" t="str">
        <f>IF(P97="Unknown","Hodan",P97)</f>
        <v>Hodan</v>
      </c>
      <c r="Q113" t="s">
        <v>2</v>
      </c>
      <c r="R113" t="s">
        <v>11</v>
      </c>
      <c r="S113" t="s">
        <v>6</v>
      </c>
    </row>
    <row r="114" spans="13:19" ht="15" customHeight="1">
      <c r="M114" t="s">
        <v>57</v>
      </c>
      <c r="N114" s="1">
        <v>46182</v>
      </c>
      <c r="O114" t="s">
        <v>27</v>
      </c>
      <c r="P114" t="s">
        <v>7</v>
      </c>
      <c r="Q114" t="s">
        <v>2</v>
      </c>
      <c r="R114" t="s">
        <v>11</v>
      </c>
      <c r="S114" t="s">
        <v>15</v>
      </c>
    </row>
    <row r="115" spans="13:19" ht="15" customHeight="1">
      <c r="M115" t="s">
        <v>259</v>
      </c>
      <c r="N115" s="1">
        <v>45765</v>
      </c>
      <c r="O115" t="s">
        <v>27</v>
      </c>
      <c r="P115" t="s">
        <v>21</v>
      </c>
      <c r="Q115" t="s">
        <v>12</v>
      </c>
      <c r="R115" t="s">
        <v>11</v>
      </c>
      <c r="S115" t="str">
        <f>IF(S100="Unknown","High",S100)</f>
        <v>High</v>
      </c>
    </row>
    <row r="116" spans="13:19" ht="15" customHeight="1">
      <c r="M116" t="s">
        <v>171</v>
      </c>
      <c r="N116" s="1">
        <f>IF(N2="Unknown",MEDIAN($B$2:$B$292),N2)</f>
        <v>46215</v>
      </c>
      <c r="O116" t="s">
        <v>36</v>
      </c>
      <c r="P116" t="str">
        <f>IF(P100="Unknown","Hodan",P100)</f>
        <v>Hodan</v>
      </c>
      <c r="Q116" t="s">
        <v>2</v>
      </c>
      <c r="R116" t="s">
        <v>1</v>
      </c>
      <c r="S116" t="s">
        <v>6</v>
      </c>
    </row>
    <row r="117" spans="13:19" ht="15" customHeight="1">
      <c r="M117" t="s">
        <v>38</v>
      </c>
      <c r="N117" s="1">
        <v>45804</v>
      </c>
      <c r="O117" t="s">
        <v>8</v>
      </c>
      <c r="P117" t="s">
        <v>7</v>
      </c>
      <c r="Q117" t="s">
        <v>2</v>
      </c>
      <c r="R117" t="s">
        <v>1</v>
      </c>
      <c r="S117" t="s">
        <v>6</v>
      </c>
    </row>
    <row r="118" spans="13:19" ht="15" customHeight="1">
      <c r="M118" t="s">
        <v>221</v>
      </c>
      <c r="N118" s="1">
        <v>45853</v>
      </c>
      <c r="O118" t="str" cm="1">
        <f t="array" ref="O118">IF(O96="Unknown",INDEX(O$2:O$292,MODE(MATCH(O$2:O$292,O$2:O$292,0))),O96)</f>
        <v>Assault</v>
      </c>
      <c r="P118" t="s">
        <v>3</v>
      </c>
      <c r="Q118" t="s">
        <v>2</v>
      </c>
      <c r="R118" t="s">
        <v>16</v>
      </c>
      <c r="S118" t="s">
        <v>15</v>
      </c>
    </row>
    <row r="119" spans="13:19" ht="15" customHeight="1">
      <c r="M119" t="s">
        <v>90</v>
      </c>
      <c r="N119" s="1">
        <v>45824</v>
      </c>
      <c r="O119" t="s">
        <v>27</v>
      </c>
      <c r="P119" t="s">
        <v>7</v>
      </c>
      <c r="Q119" t="s">
        <v>12</v>
      </c>
      <c r="R119" t="s">
        <v>16</v>
      </c>
      <c r="S119" t="s">
        <v>15</v>
      </c>
    </row>
    <row r="120" spans="13:19" ht="15" customHeight="1">
      <c r="M120" t="s">
        <v>41</v>
      </c>
      <c r="N120" s="1">
        <v>45901</v>
      </c>
      <c r="O120" t="s">
        <v>8</v>
      </c>
      <c r="P120" t="s">
        <v>13</v>
      </c>
      <c r="Q120" t="s">
        <v>12</v>
      </c>
      <c r="R120" t="s">
        <v>16</v>
      </c>
      <c r="S120" t="s">
        <v>6</v>
      </c>
    </row>
    <row r="121" spans="13:19" ht="15" customHeight="1">
      <c r="M121" t="s">
        <v>118</v>
      </c>
      <c r="N121" s="1">
        <v>46055</v>
      </c>
      <c r="O121" t="s">
        <v>36</v>
      </c>
      <c r="P121" t="s">
        <v>7</v>
      </c>
      <c r="Q121" t="s">
        <v>12</v>
      </c>
      <c r="R121" t="s">
        <v>16</v>
      </c>
      <c r="S121" t="s">
        <v>6</v>
      </c>
    </row>
    <row r="122" spans="13:19" ht="15" customHeight="1">
      <c r="M122" t="s">
        <v>197</v>
      </c>
      <c r="N122" s="1">
        <v>45669</v>
      </c>
      <c r="O122" t="s">
        <v>4</v>
      </c>
      <c r="P122" t="s">
        <v>26</v>
      </c>
      <c r="Q122" t="s">
        <v>12</v>
      </c>
      <c r="R122" t="s">
        <v>11</v>
      </c>
      <c r="S122" t="s">
        <v>10</v>
      </c>
    </row>
    <row r="123" spans="13:19" ht="15" customHeight="1">
      <c r="M123" t="s">
        <v>25</v>
      </c>
      <c r="N123" s="1">
        <v>45970</v>
      </c>
      <c r="O123" t="s">
        <v>4</v>
      </c>
      <c r="P123" t="s">
        <v>3</v>
      </c>
      <c r="Q123" t="s">
        <v>315</v>
      </c>
      <c r="R123" t="s">
        <v>1</v>
      </c>
      <c r="S123" t="s">
        <v>10</v>
      </c>
    </row>
    <row r="124" spans="13:19" ht="15" customHeight="1">
      <c r="M124" t="s">
        <v>198</v>
      </c>
      <c r="N124" s="1">
        <v>46030</v>
      </c>
      <c r="O124" t="str" cm="1">
        <f t="array" ref="O124">IF(O102="Unknown",INDEX(O$2:O$292,MODE(MATCH(O$2:O$292,O$2:O$292,0))),O102)</f>
        <v>Fraud</v>
      </c>
      <c r="P124" t="s">
        <v>33</v>
      </c>
      <c r="Q124" t="s">
        <v>30</v>
      </c>
      <c r="R124" t="s">
        <v>16</v>
      </c>
      <c r="S124" t="s">
        <v>6</v>
      </c>
    </row>
    <row r="125" spans="13:19" ht="15" customHeight="1">
      <c r="M125" t="s">
        <v>158</v>
      </c>
      <c r="N125" s="1">
        <v>46223</v>
      </c>
      <c r="O125" t="s">
        <v>27</v>
      </c>
      <c r="P125" t="s">
        <v>26</v>
      </c>
      <c r="Q125" t="s">
        <v>12</v>
      </c>
      <c r="R125" t="s">
        <v>1</v>
      </c>
      <c r="S125" t="s">
        <v>15</v>
      </c>
    </row>
    <row r="126" spans="13:19" ht="15" customHeight="1">
      <c r="M126" t="s">
        <v>179</v>
      </c>
      <c r="N126" s="1">
        <v>46025</v>
      </c>
      <c r="O126" t="s">
        <v>8</v>
      </c>
      <c r="P126" t="s">
        <v>33</v>
      </c>
      <c r="Q126" t="s">
        <v>2</v>
      </c>
      <c r="R126" t="s">
        <v>1</v>
      </c>
      <c r="S126" t="s">
        <v>6</v>
      </c>
    </row>
    <row r="127" spans="13:19" ht="15" customHeight="1">
      <c r="M127" t="s">
        <v>150</v>
      </c>
      <c r="N127" s="1">
        <v>45857</v>
      </c>
      <c r="O127" t="s">
        <v>27</v>
      </c>
      <c r="P127" t="s">
        <v>26</v>
      </c>
      <c r="Q127" t="s">
        <v>2</v>
      </c>
      <c r="R127" t="str" cm="1">
        <f t="array" ref="R127">IF(R109="Unknown",INDEX(R$2:R$292,MODE(MATCH(R$2:R$292,R$2:R$292,0))),R109)</f>
        <v>Closed</v>
      </c>
      <c r="S127" t="s">
        <v>15</v>
      </c>
    </row>
    <row r="128" spans="13:19" ht="15" customHeight="1">
      <c r="M128" t="s">
        <v>243</v>
      </c>
      <c r="N128" s="1">
        <v>45845</v>
      </c>
      <c r="O128" t="s">
        <v>4</v>
      </c>
      <c r="P128" t="s">
        <v>7</v>
      </c>
      <c r="Q128" t="s">
        <v>2</v>
      </c>
      <c r="R128" t="s">
        <v>1</v>
      </c>
      <c r="S128" t="s">
        <v>10</v>
      </c>
    </row>
    <row r="129" spans="13:19" ht="15" customHeight="1">
      <c r="M129" t="s">
        <v>277</v>
      </c>
      <c r="N129" s="1">
        <v>46182</v>
      </c>
      <c r="O129" t="s">
        <v>27</v>
      </c>
      <c r="P129" t="s">
        <v>33</v>
      </c>
      <c r="Q129" t="s">
        <v>315</v>
      </c>
      <c r="R129" t="s">
        <v>11</v>
      </c>
      <c r="S129" t="s">
        <v>15</v>
      </c>
    </row>
    <row r="130" spans="13:19" ht="15" customHeight="1">
      <c r="M130" t="s">
        <v>235</v>
      </c>
      <c r="N130" s="1">
        <v>45950</v>
      </c>
      <c r="O130" t="s">
        <v>31</v>
      </c>
      <c r="P130" t="s">
        <v>13</v>
      </c>
      <c r="Q130" t="s">
        <v>12</v>
      </c>
      <c r="R130" t="s">
        <v>1</v>
      </c>
      <c r="S130" t="s">
        <v>15</v>
      </c>
    </row>
    <row r="131" spans="13:19" ht="15" customHeight="1">
      <c r="M131" t="s">
        <v>84</v>
      </c>
      <c r="N131" s="1">
        <v>45997</v>
      </c>
      <c r="O131" t="s">
        <v>36</v>
      </c>
      <c r="P131" t="str">
        <f t="shared" ref="P131:P132" si="2">IF(P115="Unknown","Hodan",P115)</f>
        <v>Karan</v>
      </c>
      <c r="Q131" t="s">
        <v>2</v>
      </c>
      <c r="R131" t="s">
        <v>11</v>
      </c>
      <c r="S131" t="s">
        <v>6</v>
      </c>
    </row>
    <row r="132" spans="13:19" ht="15" customHeight="1">
      <c r="M132" t="s">
        <v>234</v>
      </c>
      <c r="N132" s="1">
        <v>45770</v>
      </c>
      <c r="O132" t="s">
        <v>36</v>
      </c>
      <c r="P132" t="str">
        <f t="shared" si="2"/>
        <v>Hodan</v>
      </c>
      <c r="Q132" t="s">
        <v>2</v>
      </c>
      <c r="R132" t="s">
        <v>47</v>
      </c>
      <c r="S132" t="s">
        <v>6</v>
      </c>
    </row>
    <row r="133" spans="13:19" ht="15" customHeight="1">
      <c r="M133" t="s">
        <v>123</v>
      </c>
      <c r="N133" s="1">
        <v>45767</v>
      </c>
      <c r="O133" t="s">
        <v>31</v>
      </c>
      <c r="P133" t="s">
        <v>26</v>
      </c>
      <c r="Q133" t="s">
        <v>2</v>
      </c>
      <c r="R133" t="s">
        <v>16</v>
      </c>
      <c r="S133" t="s">
        <v>15</v>
      </c>
    </row>
    <row r="134" spans="13:19" ht="15" customHeight="1">
      <c r="M134" t="s">
        <v>248</v>
      </c>
      <c r="N134" s="1">
        <v>45826</v>
      </c>
      <c r="O134" t="s">
        <v>27</v>
      </c>
      <c r="P134" t="str">
        <f>IF(P118="Unknown","Hodan",P118)</f>
        <v>Hodan</v>
      </c>
      <c r="Q134" t="s">
        <v>315</v>
      </c>
      <c r="R134" t="s">
        <v>1</v>
      </c>
      <c r="S134" t="s">
        <v>15</v>
      </c>
    </row>
    <row r="135" spans="13:19" ht="15" customHeight="1">
      <c r="M135" t="s">
        <v>162</v>
      </c>
      <c r="N135" s="1">
        <f>IF(N2="Unknown",MEDIAN($B$2:$B$292),N2)</f>
        <v>46215</v>
      </c>
      <c r="O135" t="s">
        <v>27</v>
      </c>
      <c r="P135" t="s">
        <v>3</v>
      </c>
      <c r="Q135" t="s">
        <v>2</v>
      </c>
      <c r="R135" t="s">
        <v>1</v>
      </c>
      <c r="S135" t="s">
        <v>15</v>
      </c>
    </row>
    <row r="136" spans="13:19" ht="15" customHeight="1">
      <c r="M136" t="s">
        <v>145</v>
      </c>
      <c r="N136" s="1">
        <v>46133</v>
      </c>
      <c r="O136" t="s">
        <v>27</v>
      </c>
      <c r="P136" t="s">
        <v>21</v>
      </c>
      <c r="Q136" t="s">
        <v>2</v>
      </c>
      <c r="R136" t="s">
        <v>16</v>
      </c>
      <c r="S136" t="s">
        <v>15</v>
      </c>
    </row>
    <row r="137" spans="13:19" ht="15" customHeight="1">
      <c r="M137" t="s">
        <v>191</v>
      </c>
      <c r="N137" s="1">
        <v>45690</v>
      </c>
      <c r="O137" t="s">
        <v>36</v>
      </c>
      <c r="P137" t="s">
        <v>7</v>
      </c>
      <c r="Q137" t="s">
        <v>12</v>
      </c>
      <c r="R137" t="s">
        <v>16</v>
      </c>
      <c r="S137" t="s">
        <v>6</v>
      </c>
    </row>
    <row r="138" spans="13:19" ht="15" customHeight="1">
      <c r="M138" t="s">
        <v>133</v>
      </c>
      <c r="N138" s="1">
        <v>46155</v>
      </c>
      <c r="O138" t="s">
        <v>4</v>
      </c>
      <c r="P138" t="s">
        <v>7</v>
      </c>
      <c r="Q138" t="s">
        <v>12</v>
      </c>
      <c r="R138" t="s">
        <v>1</v>
      </c>
      <c r="S138" t="s">
        <v>10</v>
      </c>
    </row>
    <row r="139" spans="13:19" ht="15" customHeight="1">
      <c r="M139" t="s">
        <v>252</v>
      </c>
      <c r="N139" s="1">
        <v>46172</v>
      </c>
      <c r="O139" t="s">
        <v>27</v>
      </c>
      <c r="P139" t="s">
        <v>3</v>
      </c>
      <c r="Q139" t="s">
        <v>2</v>
      </c>
      <c r="R139" t="s">
        <v>16</v>
      </c>
      <c r="S139" t="s">
        <v>15</v>
      </c>
    </row>
    <row r="140" spans="13:19" ht="15" customHeight="1">
      <c r="M140" t="s">
        <v>32</v>
      </c>
      <c r="N140" s="1">
        <v>45806</v>
      </c>
      <c r="O140" t="s">
        <v>31</v>
      </c>
      <c r="P140" t="s">
        <v>7</v>
      </c>
      <c r="Q140" t="s">
        <v>30</v>
      </c>
      <c r="R140" t="s">
        <v>11</v>
      </c>
      <c r="S140" t="s">
        <v>15</v>
      </c>
    </row>
    <row r="141" spans="13:19" ht="15" customHeight="1">
      <c r="M141" t="s">
        <v>60</v>
      </c>
      <c r="N141" s="1">
        <v>45668</v>
      </c>
      <c r="O141" t="s">
        <v>22</v>
      </c>
      <c r="P141" t="s">
        <v>3</v>
      </c>
      <c r="Q141" t="s">
        <v>2</v>
      </c>
      <c r="R141" t="str" cm="1">
        <f t="array" ref="R141">IF(R123="Unknown",INDEX(R$2:R$292,MODE(MATCH(R$2:R$292,R$2:R$292,0))),R123)</f>
        <v>Closed</v>
      </c>
      <c r="S141" t="s">
        <v>15</v>
      </c>
    </row>
    <row r="142" spans="13:19" ht="15" customHeight="1">
      <c r="M142" t="s">
        <v>52</v>
      </c>
      <c r="N142" s="1">
        <v>45977</v>
      </c>
      <c r="O142" t="s">
        <v>27</v>
      </c>
      <c r="P142" t="s">
        <v>26</v>
      </c>
      <c r="Q142" t="s">
        <v>2</v>
      </c>
      <c r="R142" t="s">
        <v>16</v>
      </c>
      <c r="S142" t="str">
        <f>IF(S127="Unknown","High",S127)</f>
        <v>Medium</v>
      </c>
    </row>
    <row r="143" spans="13:19" ht="15" customHeight="1">
      <c r="M143" t="s">
        <v>155</v>
      </c>
      <c r="N143" s="1">
        <v>45935</v>
      </c>
      <c r="O143" t="s">
        <v>31</v>
      </c>
      <c r="P143" t="s">
        <v>26</v>
      </c>
      <c r="Q143" t="s">
        <v>315</v>
      </c>
      <c r="R143" t="s">
        <v>11</v>
      </c>
      <c r="S143" t="s">
        <v>15</v>
      </c>
    </row>
    <row r="144" spans="13:19" ht="15" customHeight="1">
      <c r="M144" t="s">
        <v>257</v>
      </c>
      <c r="N144" s="1">
        <f>IF(N2="Unknown",MEDIAN($B$2:$B$292),N2)</f>
        <v>46215</v>
      </c>
      <c r="O144" t="s">
        <v>27</v>
      </c>
      <c r="P144" t="s">
        <v>7</v>
      </c>
      <c r="Q144" t="s">
        <v>2</v>
      </c>
      <c r="R144" t="s">
        <v>1</v>
      </c>
      <c r="S144" t="s">
        <v>15</v>
      </c>
    </row>
    <row r="145" spans="13:19" ht="15" customHeight="1">
      <c r="M145" t="s">
        <v>209</v>
      </c>
      <c r="N145" s="1">
        <v>46160</v>
      </c>
      <c r="O145" t="s">
        <v>36</v>
      </c>
      <c r="P145" t="s">
        <v>3</v>
      </c>
      <c r="Q145" t="s">
        <v>2</v>
      </c>
      <c r="R145" t="s">
        <v>16</v>
      </c>
      <c r="S145" t="s">
        <v>6</v>
      </c>
    </row>
    <row r="146" spans="13:19" ht="15" customHeight="1">
      <c r="M146" t="s">
        <v>272</v>
      </c>
      <c r="N146" s="1">
        <v>45957</v>
      </c>
      <c r="O146" t="s">
        <v>27</v>
      </c>
      <c r="P146" t="s">
        <v>21</v>
      </c>
      <c r="Q146" t="s">
        <v>2</v>
      </c>
      <c r="R146" t="s">
        <v>11</v>
      </c>
      <c r="S146" t="str">
        <f>IF(S131="Unknown","High",S131)</f>
        <v>High</v>
      </c>
    </row>
    <row r="147" spans="13:19" ht="15" customHeight="1">
      <c r="M147" t="s">
        <v>178</v>
      </c>
      <c r="N147" s="1">
        <v>45713</v>
      </c>
      <c r="O147" t="s">
        <v>36</v>
      </c>
      <c r="P147" t="s">
        <v>26</v>
      </c>
      <c r="Q147" t="s">
        <v>2</v>
      </c>
      <c r="R147" t="s">
        <v>47</v>
      </c>
      <c r="S147" t="s">
        <v>6</v>
      </c>
    </row>
    <row r="148" spans="13:19" ht="15" customHeight="1">
      <c r="M148" t="s">
        <v>289</v>
      </c>
      <c r="N148" s="1">
        <v>45919</v>
      </c>
      <c r="O148" t="s">
        <v>36</v>
      </c>
      <c r="P148" t="s">
        <v>7</v>
      </c>
      <c r="Q148" t="s">
        <v>2</v>
      </c>
      <c r="R148" t="s">
        <v>11</v>
      </c>
      <c r="S148" t="s">
        <v>6</v>
      </c>
    </row>
    <row r="149" spans="13:19" ht="15" customHeight="1">
      <c r="M149" t="s">
        <v>261</v>
      </c>
      <c r="N149" s="1">
        <v>46156</v>
      </c>
      <c r="O149" t="s">
        <v>8</v>
      </c>
      <c r="P149" t="s">
        <v>33</v>
      </c>
      <c r="Q149" t="s">
        <v>12</v>
      </c>
      <c r="R149" t="s">
        <v>47</v>
      </c>
      <c r="S149" t="s">
        <v>6</v>
      </c>
    </row>
    <row r="150" spans="13:19" ht="15" customHeight="1">
      <c r="M150" t="s">
        <v>169</v>
      </c>
      <c r="N150" s="1">
        <v>46209</v>
      </c>
      <c r="O150" t="s">
        <v>27</v>
      </c>
      <c r="P150" t="s">
        <v>13</v>
      </c>
      <c r="Q150" t="s">
        <v>2</v>
      </c>
      <c r="R150" t="s">
        <v>1</v>
      </c>
      <c r="S150" t="str">
        <f>IF(S135="Unknown","High",S135)</f>
        <v>Medium</v>
      </c>
    </row>
    <row r="151" spans="13:19" ht="15" customHeight="1">
      <c r="M151" t="s">
        <v>154</v>
      </c>
      <c r="N151" s="1">
        <v>46051</v>
      </c>
      <c r="O151" t="s">
        <v>36</v>
      </c>
      <c r="P151" t="s">
        <v>33</v>
      </c>
      <c r="Q151" t="s">
        <v>2</v>
      </c>
      <c r="R151" t="s">
        <v>1</v>
      </c>
      <c r="S151" t="s">
        <v>6</v>
      </c>
    </row>
    <row r="152" spans="13:19" ht="15" customHeight="1">
      <c r="M152" t="s">
        <v>297</v>
      </c>
      <c r="N152" s="1">
        <v>46118</v>
      </c>
      <c r="O152" t="s">
        <v>27</v>
      </c>
      <c r="P152" t="s">
        <v>3</v>
      </c>
      <c r="Q152" t="s">
        <v>30</v>
      </c>
      <c r="R152" t="s">
        <v>11</v>
      </c>
      <c r="S152" t="s">
        <v>15</v>
      </c>
    </row>
    <row r="153" spans="13:19" ht="15" customHeight="1">
      <c r="M153" t="s">
        <v>182</v>
      </c>
      <c r="N153" s="1">
        <v>46055</v>
      </c>
      <c r="O153" t="s">
        <v>31</v>
      </c>
      <c r="P153" t="s">
        <v>26</v>
      </c>
      <c r="Q153" t="s">
        <v>12</v>
      </c>
      <c r="R153" t="s">
        <v>1</v>
      </c>
      <c r="S153" t="str">
        <f>IF(S138="Unknown","High",S138)</f>
        <v>Low</v>
      </c>
    </row>
    <row r="154" spans="13:19" ht="15" customHeight="1">
      <c r="M154" t="s">
        <v>227</v>
      </c>
      <c r="N154" s="1">
        <v>46018</v>
      </c>
      <c r="O154" t="s">
        <v>8</v>
      </c>
      <c r="P154" t="s">
        <v>13</v>
      </c>
      <c r="Q154" t="s">
        <v>12</v>
      </c>
      <c r="R154" t="s">
        <v>1</v>
      </c>
      <c r="S154" t="s">
        <v>6</v>
      </c>
    </row>
    <row r="155" spans="13:19" ht="15" customHeight="1">
      <c r="M155" t="s">
        <v>157</v>
      </c>
      <c r="N155" s="1">
        <v>46037</v>
      </c>
      <c r="O155" t="s">
        <v>27</v>
      </c>
      <c r="P155" t="s">
        <v>3</v>
      </c>
      <c r="Q155" t="s">
        <v>12</v>
      </c>
      <c r="R155" t="s">
        <v>1</v>
      </c>
      <c r="S155" t="s">
        <v>15</v>
      </c>
    </row>
    <row r="156" spans="13:19" ht="15" customHeight="1">
      <c r="M156" t="s">
        <v>164</v>
      </c>
      <c r="N156" s="1">
        <v>46150</v>
      </c>
      <c r="O156" t="s">
        <v>27</v>
      </c>
      <c r="P156" t="s">
        <v>3</v>
      </c>
      <c r="Q156" t="s">
        <v>2</v>
      </c>
      <c r="R156" t="s">
        <v>163</v>
      </c>
      <c r="S156" t="s">
        <v>15</v>
      </c>
    </row>
    <row r="157" spans="13:19" ht="15" customHeight="1">
      <c r="M157" t="s">
        <v>117</v>
      </c>
      <c r="N157" s="1">
        <v>45850</v>
      </c>
      <c r="O157" t="s">
        <v>27</v>
      </c>
      <c r="P157" t="s">
        <v>7</v>
      </c>
      <c r="Q157" t="s">
        <v>30</v>
      </c>
      <c r="R157" t="s">
        <v>1</v>
      </c>
      <c r="S157" t="s">
        <v>15</v>
      </c>
    </row>
    <row r="158" spans="13:19" ht="15" customHeight="1">
      <c r="M158" t="s">
        <v>67</v>
      </c>
      <c r="N158" s="1">
        <v>45876</v>
      </c>
      <c r="O158" t="s">
        <v>36</v>
      </c>
      <c r="P158" t="s">
        <v>3</v>
      </c>
      <c r="Q158" t="s">
        <v>12</v>
      </c>
      <c r="R158" t="s">
        <v>16</v>
      </c>
      <c r="S158" t="s">
        <v>6</v>
      </c>
    </row>
    <row r="159" spans="13:19" ht="15" customHeight="1">
      <c r="M159" t="s">
        <v>173</v>
      </c>
      <c r="N159" s="1">
        <v>45850</v>
      </c>
      <c r="O159" t="s">
        <v>36</v>
      </c>
      <c r="P159" t="s">
        <v>13</v>
      </c>
      <c r="Q159" t="s">
        <v>12</v>
      </c>
      <c r="R159" t="s">
        <v>16</v>
      </c>
      <c r="S159" t="s">
        <v>6</v>
      </c>
    </row>
    <row r="160" spans="13:19" ht="15" customHeight="1">
      <c r="M160" t="s">
        <v>165</v>
      </c>
      <c r="N160" s="1">
        <v>45877</v>
      </c>
      <c r="O160" t="s">
        <v>31</v>
      </c>
      <c r="P160" t="s">
        <v>13</v>
      </c>
      <c r="Q160" t="s">
        <v>12</v>
      </c>
      <c r="R160" t="s">
        <v>1</v>
      </c>
      <c r="S160" t="s">
        <v>15</v>
      </c>
    </row>
    <row r="161" spans="13:19" ht="15" customHeight="1">
      <c r="M161" t="s">
        <v>44</v>
      </c>
      <c r="N161" s="1">
        <v>46079</v>
      </c>
      <c r="O161" t="s">
        <v>31</v>
      </c>
      <c r="P161" t="s">
        <v>21</v>
      </c>
      <c r="Q161" t="s">
        <v>30</v>
      </c>
      <c r="R161" t="s">
        <v>11</v>
      </c>
      <c r="S161" t="s">
        <v>15</v>
      </c>
    </row>
    <row r="162" spans="13:19" ht="15" customHeight="1">
      <c r="M162" t="s">
        <v>305</v>
      </c>
      <c r="N162" s="1">
        <v>46168</v>
      </c>
      <c r="O162" t="s">
        <v>27</v>
      </c>
      <c r="P162" t="s">
        <v>7</v>
      </c>
      <c r="Q162" t="s">
        <v>12</v>
      </c>
      <c r="R162" t="str" cm="1">
        <f t="array" ref="R162">IF(R144="Unknown",INDEX(R$2:R$292,MODE(MATCH(R$2:R$292,R$2:R$292,0))),R144)</f>
        <v>Closed</v>
      </c>
      <c r="S162" t="s">
        <v>15</v>
      </c>
    </row>
    <row r="163" spans="13:19" ht="15" customHeight="1">
      <c r="M163" t="s">
        <v>219</v>
      </c>
      <c r="N163" s="1">
        <v>46087</v>
      </c>
      <c r="O163" t="s">
        <v>36</v>
      </c>
      <c r="P163" t="s">
        <v>3</v>
      </c>
      <c r="Q163" t="s">
        <v>12</v>
      </c>
      <c r="R163" t="s">
        <v>16</v>
      </c>
      <c r="S163" t="s">
        <v>6</v>
      </c>
    </row>
    <row r="164" spans="13:19" ht="15" customHeight="1">
      <c r="M164" t="s">
        <v>181</v>
      </c>
      <c r="N164" s="1">
        <f>IF(N135="Unknown",MEDIAN($B$2:$B$292),N135)</f>
        <v>46215</v>
      </c>
      <c r="O164" t="s">
        <v>22</v>
      </c>
      <c r="P164" t="s">
        <v>7</v>
      </c>
      <c r="Q164" t="s">
        <v>12</v>
      </c>
      <c r="R164" t="s">
        <v>1</v>
      </c>
      <c r="S164" t="s">
        <v>15</v>
      </c>
    </row>
    <row r="165" spans="13:19" ht="15" customHeight="1">
      <c r="M165" t="s">
        <v>276</v>
      </c>
      <c r="N165" s="1">
        <v>45671</v>
      </c>
      <c r="O165" t="s">
        <v>8</v>
      </c>
      <c r="P165" t="s">
        <v>7</v>
      </c>
      <c r="Q165" t="s">
        <v>12</v>
      </c>
      <c r="R165" t="s">
        <v>11</v>
      </c>
      <c r="S165" t="s">
        <v>6</v>
      </c>
    </row>
    <row r="166" spans="13:19" ht="15" customHeight="1">
      <c r="M166" t="s">
        <v>103</v>
      </c>
      <c r="N166" s="1">
        <v>46152</v>
      </c>
      <c r="O166" t="s">
        <v>8</v>
      </c>
      <c r="P166" t="s">
        <v>21</v>
      </c>
      <c r="Q166" t="s">
        <v>2</v>
      </c>
      <c r="R166" t="s">
        <v>47</v>
      </c>
      <c r="S166" t="s">
        <v>6</v>
      </c>
    </row>
    <row r="167" spans="13:19" ht="15" customHeight="1">
      <c r="M167" t="s">
        <v>301</v>
      </c>
      <c r="N167" s="1">
        <v>46098</v>
      </c>
      <c r="O167" t="s">
        <v>27</v>
      </c>
      <c r="P167" t="s">
        <v>26</v>
      </c>
      <c r="Q167" t="s">
        <v>12</v>
      </c>
      <c r="R167" t="s">
        <v>11</v>
      </c>
      <c r="S167" t="s">
        <v>15</v>
      </c>
    </row>
    <row r="168" spans="13:19" ht="15" customHeight="1">
      <c r="M168" t="s">
        <v>210</v>
      </c>
      <c r="N168" s="1">
        <v>46154</v>
      </c>
      <c r="O168" t="s">
        <v>4</v>
      </c>
      <c r="P168" t="s">
        <v>21</v>
      </c>
      <c r="Q168" t="s">
        <v>2</v>
      </c>
      <c r="R168" t="s">
        <v>47</v>
      </c>
      <c r="S168" t="s">
        <v>10</v>
      </c>
    </row>
    <row r="169" spans="13:19" ht="15" customHeight="1">
      <c r="M169" t="s">
        <v>149</v>
      </c>
      <c r="N169" s="1">
        <v>46019</v>
      </c>
      <c r="O169" t="s">
        <v>27</v>
      </c>
      <c r="P169" t="s">
        <v>26</v>
      </c>
      <c r="Q169" t="s">
        <v>30</v>
      </c>
      <c r="R169" t="s">
        <v>1</v>
      </c>
      <c r="S169" t="s">
        <v>15</v>
      </c>
    </row>
    <row r="170" spans="13:19" ht="15" customHeight="1">
      <c r="M170" t="s">
        <v>108</v>
      </c>
      <c r="N170" s="1">
        <v>45723</v>
      </c>
      <c r="O170" t="s">
        <v>31</v>
      </c>
      <c r="P170" t="s">
        <v>26</v>
      </c>
      <c r="Q170" t="s">
        <v>12</v>
      </c>
      <c r="R170" t="s">
        <v>16</v>
      </c>
      <c r="S170" t="s">
        <v>15</v>
      </c>
    </row>
    <row r="171" spans="13:19" ht="15" customHeight="1">
      <c r="M171" t="s">
        <v>224</v>
      </c>
      <c r="N171" s="1">
        <v>45866</v>
      </c>
      <c r="O171" t="s">
        <v>36</v>
      </c>
      <c r="P171" t="s">
        <v>3</v>
      </c>
      <c r="Q171" t="s">
        <v>30</v>
      </c>
      <c r="R171" t="s">
        <v>16</v>
      </c>
      <c r="S171" t="str">
        <f>IF(S156="Unknown","High",S156)</f>
        <v>Medium</v>
      </c>
    </row>
    <row r="172" spans="13:19" ht="15" customHeight="1">
      <c r="M172" t="s">
        <v>187</v>
      </c>
      <c r="N172" s="1">
        <v>45845</v>
      </c>
      <c r="O172" t="s">
        <v>22</v>
      </c>
      <c r="P172" t="s">
        <v>21</v>
      </c>
      <c r="Q172" t="s">
        <v>2</v>
      </c>
      <c r="R172" t="s">
        <v>1</v>
      </c>
      <c r="S172" t="s">
        <v>15</v>
      </c>
    </row>
    <row r="173" spans="13:19" ht="15" customHeight="1">
      <c r="M173" t="s">
        <v>183</v>
      </c>
      <c r="N173" s="1">
        <v>45748</v>
      </c>
      <c r="O173" t="s">
        <v>22</v>
      </c>
      <c r="P173" t="str">
        <f>IF(P157="Unknown","Hodan",P157)</f>
        <v>Wadajir</v>
      </c>
      <c r="Q173" t="s">
        <v>12</v>
      </c>
      <c r="R173" t="s">
        <v>1</v>
      </c>
      <c r="S173" t="s">
        <v>15</v>
      </c>
    </row>
    <row r="174" spans="13:19" ht="15" customHeight="1">
      <c r="M174" t="s">
        <v>222</v>
      </c>
      <c r="N174" s="1">
        <v>46054</v>
      </c>
      <c r="O174" t="s">
        <v>36</v>
      </c>
      <c r="P174" t="s">
        <v>26</v>
      </c>
      <c r="Q174" t="s">
        <v>12</v>
      </c>
      <c r="R174" t="s">
        <v>47</v>
      </c>
      <c r="S174" t="s">
        <v>6</v>
      </c>
    </row>
    <row r="175" spans="13:19" ht="15" customHeight="1">
      <c r="M175" t="s">
        <v>223</v>
      </c>
      <c r="N175" s="1">
        <v>46199</v>
      </c>
      <c r="O175" t="s">
        <v>31</v>
      </c>
      <c r="P175" t="s">
        <v>3</v>
      </c>
      <c r="Q175" t="s">
        <v>12</v>
      </c>
      <c r="R175" t="s">
        <v>47</v>
      </c>
      <c r="S175" t="str">
        <f>IF(S160="Unknown","High",S160)</f>
        <v>Medium</v>
      </c>
    </row>
    <row r="176" spans="13:19" ht="15" customHeight="1">
      <c r="M176" t="s">
        <v>216</v>
      </c>
      <c r="N176" s="1">
        <v>46232</v>
      </c>
      <c r="O176" t="s">
        <v>31</v>
      </c>
      <c r="P176" t="s">
        <v>33</v>
      </c>
      <c r="Q176" t="s">
        <v>12</v>
      </c>
      <c r="R176" t="s">
        <v>1</v>
      </c>
      <c r="S176" t="s">
        <v>15</v>
      </c>
    </row>
    <row r="177" spans="13:19" ht="15" customHeight="1">
      <c r="M177" t="s">
        <v>262</v>
      </c>
      <c r="N177" s="1">
        <f>IF(N2="Unknown",MEDIAN($B$2:$B$292),N2)</f>
        <v>46215</v>
      </c>
      <c r="O177" t="s">
        <v>4</v>
      </c>
      <c r="P177" t="s">
        <v>21</v>
      </c>
      <c r="Q177" t="s">
        <v>2</v>
      </c>
      <c r="R177" t="s">
        <v>1</v>
      </c>
      <c r="S177" t="s">
        <v>10</v>
      </c>
    </row>
    <row r="178" spans="13:19" ht="15" customHeight="1">
      <c r="M178" t="s">
        <v>85</v>
      </c>
      <c r="N178" s="1">
        <v>46145</v>
      </c>
      <c r="O178" t="s">
        <v>31</v>
      </c>
      <c r="P178" t="s">
        <v>7</v>
      </c>
      <c r="Q178" t="s">
        <v>2</v>
      </c>
      <c r="R178" t="s">
        <v>47</v>
      </c>
      <c r="S178" t="s">
        <v>15</v>
      </c>
    </row>
    <row r="179" spans="13:19" ht="15" customHeight="1">
      <c r="M179" t="s">
        <v>151</v>
      </c>
      <c r="N179" s="1">
        <v>46034</v>
      </c>
      <c r="O179" t="str" cm="1">
        <f t="array" ref="O179">IF(O157="Unknown",INDEX(O$2:O$292,MODE(MATCH(O$2:O$292,O$2:O$292,0))),O157)</f>
        <v>Theft</v>
      </c>
      <c r="P179" t="s">
        <v>3</v>
      </c>
      <c r="Q179" t="s">
        <v>30</v>
      </c>
      <c r="R179" t="s">
        <v>16</v>
      </c>
      <c r="S179" t="s">
        <v>15</v>
      </c>
    </row>
    <row r="180" spans="13:19" ht="15" customHeight="1">
      <c r="M180" t="s">
        <v>188</v>
      </c>
      <c r="N180" s="1">
        <v>46128</v>
      </c>
      <c r="O180" t="s">
        <v>36</v>
      </c>
      <c r="P180" t="s">
        <v>7</v>
      </c>
      <c r="Q180" t="s">
        <v>30</v>
      </c>
      <c r="R180" t="s">
        <v>47</v>
      </c>
      <c r="S180" t="s">
        <v>6</v>
      </c>
    </row>
    <row r="181" spans="13:19" ht="15" customHeight="1">
      <c r="M181" t="s">
        <v>78</v>
      </c>
      <c r="N181" s="1">
        <v>45803</v>
      </c>
      <c r="O181" t="s">
        <v>8</v>
      </c>
      <c r="P181" t="s">
        <v>7</v>
      </c>
      <c r="Q181" t="s">
        <v>315</v>
      </c>
      <c r="R181" t="s">
        <v>16</v>
      </c>
      <c r="S181" t="s">
        <v>6</v>
      </c>
    </row>
    <row r="182" spans="13:19" ht="15" customHeight="1">
      <c r="M182" t="s">
        <v>199</v>
      </c>
      <c r="N182" s="1">
        <v>45678</v>
      </c>
      <c r="O182" t="s">
        <v>27</v>
      </c>
      <c r="P182" t="s">
        <v>26</v>
      </c>
      <c r="Q182" t="s">
        <v>30</v>
      </c>
      <c r="R182" t="s">
        <v>1</v>
      </c>
      <c r="S182" t="s">
        <v>15</v>
      </c>
    </row>
    <row r="183" spans="13:19" ht="15" customHeight="1">
      <c r="M183" t="s">
        <v>296</v>
      </c>
      <c r="N183" s="1">
        <v>46003</v>
      </c>
      <c r="O183" t="s">
        <v>27</v>
      </c>
      <c r="P183" t="s">
        <v>3</v>
      </c>
      <c r="Q183" t="s">
        <v>12</v>
      </c>
      <c r="R183" t="s">
        <v>11</v>
      </c>
      <c r="S183" t="s">
        <v>15</v>
      </c>
    </row>
    <row r="184" spans="13:19" ht="15" customHeight="1">
      <c r="M184" t="s">
        <v>195</v>
      </c>
      <c r="N184" s="1">
        <v>45864</v>
      </c>
      <c r="O184" t="str" cm="1">
        <f t="array" ref="O184">IF(O162="Unknown",INDEX(O$2:O$292,MODE(MATCH(O$2:O$292,O$2:O$292,0))),O162)</f>
        <v>Theft</v>
      </c>
      <c r="P184" t="s">
        <v>33</v>
      </c>
      <c r="Q184" t="s">
        <v>2</v>
      </c>
      <c r="R184" t="s">
        <v>47</v>
      </c>
      <c r="S184" t="s">
        <v>10</v>
      </c>
    </row>
    <row r="185" spans="13:19" ht="15" customHeight="1">
      <c r="M185" t="s">
        <v>54</v>
      </c>
      <c r="N185" s="1">
        <v>45945</v>
      </c>
      <c r="O185" t="s">
        <v>31</v>
      </c>
      <c r="P185" t="s">
        <v>3</v>
      </c>
      <c r="Q185" t="s">
        <v>30</v>
      </c>
      <c r="R185" t="s">
        <v>47</v>
      </c>
      <c r="S185" t="s">
        <v>15</v>
      </c>
    </row>
    <row r="186" spans="13:19" ht="15" customHeight="1">
      <c r="M186" t="s">
        <v>201</v>
      </c>
      <c r="N186" s="1">
        <v>45974</v>
      </c>
      <c r="O186" t="s">
        <v>8</v>
      </c>
      <c r="P186" t="s">
        <v>26</v>
      </c>
      <c r="Q186" t="s">
        <v>2</v>
      </c>
      <c r="R186" t="s">
        <v>1</v>
      </c>
      <c r="S186" t="s">
        <v>6</v>
      </c>
    </row>
    <row r="187" spans="13:19" ht="15" customHeight="1">
      <c r="M187" t="s">
        <v>48</v>
      </c>
      <c r="N187" s="1">
        <v>45832</v>
      </c>
      <c r="O187" t="s">
        <v>27</v>
      </c>
      <c r="P187" t="s">
        <v>3</v>
      </c>
      <c r="Q187" t="s">
        <v>2</v>
      </c>
      <c r="R187" t="s">
        <v>47</v>
      </c>
      <c r="S187" t="str">
        <f>IF(S172="Unknown","High",S172)</f>
        <v>Medium</v>
      </c>
    </row>
    <row r="188" spans="13:19" ht="15" customHeight="1">
      <c r="M188" t="s">
        <v>42</v>
      </c>
      <c r="N188" s="1">
        <v>46234</v>
      </c>
      <c r="O188" t="s">
        <v>27</v>
      </c>
      <c r="P188" t="s">
        <v>7</v>
      </c>
      <c r="Q188" t="s">
        <v>2</v>
      </c>
      <c r="R188" t="s">
        <v>1</v>
      </c>
      <c r="S188" t="s">
        <v>15</v>
      </c>
    </row>
    <row r="189" spans="13:19" ht="15" customHeight="1">
      <c r="M189" t="s">
        <v>114</v>
      </c>
      <c r="N189" s="1">
        <v>45754</v>
      </c>
      <c r="O189" t="s">
        <v>36</v>
      </c>
      <c r="P189" t="s">
        <v>13</v>
      </c>
      <c r="Q189" t="s">
        <v>2</v>
      </c>
      <c r="R189" t="s">
        <v>1</v>
      </c>
      <c r="S189" t="s">
        <v>6</v>
      </c>
    </row>
    <row r="190" spans="13:19" ht="15" customHeight="1">
      <c r="M190" t="s">
        <v>79</v>
      </c>
      <c r="N190" s="1">
        <v>45984</v>
      </c>
      <c r="O190" t="s">
        <v>36</v>
      </c>
      <c r="P190" t="s">
        <v>3</v>
      </c>
      <c r="Q190" t="s">
        <v>2</v>
      </c>
      <c r="R190" t="s">
        <v>1</v>
      </c>
      <c r="S190" t="s">
        <v>6</v>
      </c>
    </row>
    <row r="191" spans="13:19" ht="15" customHeight="1">
      <c r="M191" t="s">
        <v>166</v>
      </c>
      <c r="N191" s="1">
        <v>45901</v>
      </c>
      <c r="O191" t="s">
        <v>8</v>
      </c>
      <c r="P191" t="str">
        <f>IF(P175="Unknown","Hodan",P175)</f>
        <v>Hodan</v>
      </c>
      <c r="Q191" t="s">
        <v>2</v>
      </c>
      <c r="R191" t="s">
        <v>1</v>
      </c>
      <c r="S191" t="s">
        <v>6</v>
      </c>
    </row>
    <row r="192" spans="13:19" ht="15" customHeight="1">
      <c r="M192" t="s">
        <v>255</v>
      </c>
      <c r="N192" s="1">
        <v>45870</v>
      </c>
      <c r="O192" t="s">
        <v>27</v>
      </c>
      <c r="P192" t="s">
        <v>21</v>
      </c>
      <c r="Q192" t="s">
        <v>315</v>
      </c>
      <c r="R192" t="s">
        <v>16</v>
      </c>
      <c r="S192" t="s">
        <v>15</v>
      </c>
    </row>
    <row r="193" spans="13:19" ht="15" customHeight="1">
      <c r="M193" t="s">
        <v>180</v>
      </c>
      <c r="N193" s="1">
        <v>46171</v>
      </c>
      <c r="O193" t="s">
        <v>27</v>
      </c>
      <c r="P193" t="s">
        <v>33</v>
      </c>
      <c r="Q193" t="s">
        <v>2</v>
      </c>
      <c r="R193" t="s">
        <v>1</v>
      </c>
      <c r="S193" t="str">
        <f t="shared" ref="S193:S195" si="3">IF(S178="Unknown","High",S178)</f>
        <v>Medium</v>
      </c>
    </row>
    <row r="194" spans="13:19" ht="15" customHeight="1">
      <c r="M194" t="s">
        <v>95</v>
      </c>
      <c r="N194" s="1">
        <v>46104</v>
      </c>
      <c r="O194" t="s">
        <v>8</v>
      </c>
      <c r="P194" t="s">
        <v>26</v>
      </c>
      <c r="Q194" t="s">
        <v>2</v>
      </c>
      <c r="R194" t="str" cm="1">
        <f t="array" ref="R194">IF(R176="Unknown",INDEX(R$2:R$292,MODE(MATCH(R$2:R$292,R$2:R$292,0))),R176)</f>
        <v>Closed</v>
      </c>
      <c r="S194" t="str">
        <f t="shared" si="3"/>
        <v>Medium</v>
      </c>
    </row>
    <row r="195" spans="13:19" ht="15" customHeight="1">
      <c r="M195" t="s">
        <v>206</v>
      </c>
      <c r="N195" s="1">
        <v>45893</v>
      </c>
      <c r="O195" t="s">
        <v>8</v>
      </c>
      <c r="P195" t="s">
        <v>13</v>
      </c>
      <c r="Q195" t="s">
        <v>2</v>
      </c>
      <c r="R195" t="s">
        <v>47</v>
      </c>
      <c r="S195" t="str">
        <f t="shared" si="3"/>
        <v>High</v>
      </c>
    </row>
    <row r="196" spans="13:19" ht="15" customHeight="1">
      <c r="M196" t="s">
        <v>247</v>
      </c>
      <c r="N196" s="1">
        <v>46130</v>
      </c>
      <c r="O196" t="s">
        <v>27</v>
      </c>
      <c r="P196" t="s">
        <v>13</v>
      </c>
      <c r="Q196" t="s">
        <v>315</v>
      </c>
      <c r="R196" t="s">
        <v>16</v>
      </c>
      <c r="S196" t="s">
        <v>15</v>
      </c>
    </row>
    <row r="197" spans="13:19" ht="15" customHeight="1">
      <c r="M197" t="s">
        <v>77</v>
      </c>
      <c r="N197" s="1">
        <v>45755</v>
      </c>
      <c r="O197" t="s">
        <v>4</v>
      </c>
      <c r="P197" t="s">
        <v>21</v>
      </c>
      <c r="Q197" t="s">
        <v>2</v>
      </c>
      <c r="R197" t="s">
        <v>1</v>
      </c>
      <c r="S197" t="s">
        <v>10</v>
      </c>
    </row>
    <row r="198" spans="13:19" ht="15" customHeight="1">
      <c r="M198" t="s">
        <v>251</v>
      </c>
      <c r="N198" s="1">
        <v>45793</v>
      </c>
      <c r="O198" t="s">
        <v>8</v>
      </c>
      <c r="P198" t="str">
        <f>IF(P182="Unknown","Hodan",P182)</f>
        <v>Yaqshid</v>
      </c>
      <c r="Q198" t="s">
        <v>2</v>
      </c>
      <c r="R198" t="s">
        <v>11</v>
      </c>
      <c r="S198" t="s">
        <v>6</v>
      </c>
    </row>
    <row r="199" spans="13:19" ht="15" customHeight="1">
      <c r="M199" t="s">
        <v>59</v>
      </c>
      <c r="N199" s="1">
        <v>46067</v>
      </c>
      <c r="O199" t="s">
        <v>8</v>
      </c>
      <c r="P199" t="s">
        <v>3</v>
      </c>
      <c r="Q199" t="s">
        <v>12</v>
      </c>
      <c r="R199" t="s">
        <v>1</v>
      </c>
      <c r="S199" t="s">
        <v>6</v>
      </c>
    </row>
    <row r="200" spans="13:19" ht="15" customHeight="1">
      <c r="M200" t="s">
        <v>88</v>
      </c>
      <c r="N200" s="1">
        <v>45960</v>
      </c>
      <c r="O200" t="s">
        <v>27</v>
      </c>
      <c r="P200" t="s">
        <v>26</v>
      </c>
      <c r="Q200" t="s">
        <v>12</v>
      </c>
      <c r="R200" t="s">
        <v>1</v>
      </c>
      <c r="S200" t="s">
        <v>15</v>
      </c>
    </row>
    <row r="201" spans="13:19" ht="15" customHeight="1">
      <c r="M201" t="s">
        <v>263</v>
      </c>
      <c r="N201" s="1">
        <v>45729</v>
      </c>
      <c r="O201" t="s">
        <v>36</v>
      </c>
      <c r="P201" t="s">
        <v>3</v>
      </c>
      <c r="Q201" t="s">
        <v>2</v>
      </c>
      <c r="R201" t="s">
        <v>16</v>
      </c>
      <c r="S201" t="s">
        <v>6</v>
      </c>
    </row>
    <row r="202" spans="13:19" ht="15" customHeight="1">
      <c r="M202" t="s">
        <v>113</v>
      </c>
      <c r="N202" s="1">
        <v>45884</v>
      </c>
      <c r="O202" t="s">
        <v>4</v>
      </c>
      <c r="P202" t="s">
        <v>7</v>
      </c>
      <c r="Q202" t="s">
        <v>315</v>
      </c>
      <c r="R202" t="s">
        <v>11</v>
      </c>
      <c r="S202" t="s">
        <v>10</v>
      </c>
    </row>
    <row r="203" spans="13:19" ht="15" customHeight="1">
      <c r="M203" t="s">
        <v>230</v>
      </c>
      <c r="N203" s="1">
        <v>46129</v>
      </c>
      <c r="O203" t="s">
        <v>27</v>
      </c>
      <c r="P203" t="s">
        <v>7</v>
      </c>
      <c r="Q203" t="s">
        <v>2</v>
      </c>
      <c r="R203" t="s">
        <v>47</v>
      </c>
      <c r="S203" t="s">
        <v>15</v>
      </c>
    </row>
    <row r="204" spans="13:19" ht="15" customHeight="1">
      <c r="M204" t="s">
        <v>196</v>
      </c>
      <c r="N204" s="1">
        <v>45784</v>
      </c>
      <c r="O204" t="s">
        <v>31</v>
      </c>
      <c r="P204" t="s">
        <v>3</v>
      </c>
      <c r="Q204" t="s">
        <v>2</v>
      </c>
      <c r="R204" t="s">
        <v>1</v>
      </c>
      <c r="S204" t="s">
        <v>15</v>
      </c>
    </row>
    <row r="205" spans="13:19" ht="15" customHeight="1">
      <c r="M205" t="s">
        <v>268</v>
      </c>
      <c r="N205" s="1">
        <v>46216</v>
      </c>
      <c r="O205" t="s">
        <v>36</v>
      </c>
      <c r="P205" t="s">
        <v>13</v>
      </c>
      <c r="Q205" t="s">
        <v>12</v>
      </c>
      <c r="R205" t="s">
        <v>11</v>
      </c>
      <c r="S205" t="s">
        <v>6</v>
      </c>
    </row>
    <row r="206" spans="13:19" ht="15" customHeight="1">
      <c r="M206" t="s">
        <v>298</v>
      </c>
      <c r="N206" s="1">
        <v>45755</v>
      </c>
      <c r="O206" t="s">
        <v>31</v>
      </c>
      <c r="P206" t="s">
        <v>33</v>
      </c>
      <c r="Q206" t="s">
        <v>2</v>
      </c>
      <c r="R206" t="s">
        <v>11</v>
      </c>
      <c r="S206" t="s">
        <v>15</v>
      </c>
    </row>
    <row r="207" spans="13:19" ht="15" customHeight="1">
      <c r="M207" t="s">
        <v>232</v>
      </c>
      <c r="N207" s="1">
        <v>46061</v>
      </c>
      <c r="O207" t="s">
        <v>27</v>
      </c>
      <c r="P207" t="s">
        <v>7</v>
      </c>
      <c r="Q207" t="s">
        <v>2</v>
      </c>
      <c r="R207" t="s">
        <v>1</v>
      </c>
      <c r="S207" t="s">
        <v>15</v>
      </c>
    </row>
    <row r="208" spans="13:19" ht="15" customHeight="1">
      <c r="M208" t="s">
        <v>112</v>
      </c>
      <c r="N208" s="1">
        <v>45807</v>
      </c>
      <c r="O208" t="s">
        <v>27</v>
      </c>
      <c r="P208" t="s">
        <v>13</v>
      </c>
      <c r="Q208" t="s">
        <v>2</v>
      </c>
      <c r="R208" t="s">
        <v>1</v>
      </c>
      <c r="S208" t="s">
        <v>15</v>
      </c>
    </row>
    <row r="209" spans="13:19" ht="15" customHeight="1">
      <c r="M209" t="s">
        <v>87</v>
      </c>
      <c r="N209" s="1">
        <v>46091</v>
      </c>
      <c r="O209" t="s">
        <v>36</v>
      </c>
      <c r="P209" t="s">
        <v>3</v>
      </c>
      <c r="Q209" t="s">
        <v>12</v>
      </c>
      <c r="R209" t="str" cm="1">
        <f t="array" ref="R209">IF(R191="Unknown",INDEX(R$2:R$292,MODE(MATCH(R$2:R$292,R$2:R$292,0))),R191)</f>
        <v>Closed</v>
      </c>
      <c r="S209" t="str">
        <f>IF(S194="Unknown","High",S194)</f>
        <v>Medium</v>
      </c>
    </row>
    <row r="210" spans="13:19" ht="15" customHeight="1">
      <c r="M210" t="s">
        <v>146</v>
      </c>
      <c r="N210" s="1">
        <v>46127</v>
      </c>
      <c r="O210" t="s">
        <v>8</v>
      </c>
      <c r="P210" t="s">
        <v>3</v>
      </c>
      <c r="Q210" t="s">
        <v>2</v>
      </c>
      <c r="R210" t="s">
        <v>1</v>
      </c>
      <c r="S210" t="s">
        <v>6</v>
      </c>
    </row>
    <row r="211" spans="13:19" ht="15" customHeight="1">
      <c r="M211" t="s">
        <v>270</v>
      </c>
      <c r="N211" s="1">
        <v>45995</v>
      </c>
      <c r="O211" t="s">
        <v>36</v>
      </c>
      <c r="P211" t="s">
        <v>21</v>
      </c>
      <c r="Q211" t="s">
        <v>2</v>
      </c>
      <c r="R211" t="str" cm="1">
        <f t="array" ref="R211">IF(R193="Unknown",INDEX(R$2:R$292,MODE(MATCH(R$2:R$292,R$2:R$292,0))),R193)</f>
        <v>Closed</v>
      </c>
      <c r="S211" t="s">
        <v>6</v>
      </c>
    </row>
    <row r="212" spans="13:19" ht="15" customHeight="1">
      <c r="M212" t="s">
        <v>228</v>
      </c>
      <c r="N212" s="1">
        <v>45930</v>
      </c>
      <c r="O212" t="s">
        <v>8</v>
      </c>
      <c r="P212" t="s">
        <v>7</v>
      </c>
      <c r="Q212" t="s">
        <v>2</v>
      </c>
      <c r="R212" t="s">
        <v>11</v>
      </c>
      <c r="S212" t="s">
        <v>6</v>
      </c>
    </row>
    <row r="213" spans="13:19" ht="15" customHeight="1">
      <c r="M213" t="s">
        <v>260</v>
      </c>
      <c r="N213" s="1">
        <v>45909</v>
      </c>
      <c r="O213" t="s">
        <v>22</v>
      </c>
      <c r="P213" t="s">
        <v>26</v>
      </c>
      <c r="Q213" t="s">
        <v>30</v>
      </c>
      <c r="R213" t="s">
        <v>16</v>
      </c>
      <c r="S213" t="s">
        <v>15</v>
      </c>
    </row>
    <row r="214" spans="13:19" ht="15" customHeight="1">
      <c r="M214" t="s">
        <v>51</v>
      </c>
      <c r="N214" s="1">
        <v>45944</v>
      </c>
      <c r="O214" t="s">
        <v>31</v>
      </c>
      <c r="P214" t="s">
        <v>33</v>
      </c>
      <c r="Q214" t="s">
        <v>12</v>
      </c>
      <c r="R214" t="s">
        <v>11</v>
      </c>
      <c r="S214" t="s">
        <v>15</v>
      </c>
    </row>
    <row r="215" spans="13:19" ht="15" customHeight="1">
      <c r="M215" t="s">
        <v>17</v>
      </c>
      <c r="N215" s="1">
        <v>46000</v>
      </c>
      <c r="O215" t="str" cm="1">
        <f t="array" ref="O215">IF(O193="Unknown",INDEX(O$2:O$292,MODE(MATCH(O$2:O$292,O$2:O$292,0))),O193)</f>
        <v>Theft</v>
      </c>
      <c r="P215" t="s">
        <v>3</v>
      </c>
      <c r="Q215" t="s">
        <v>2</v>
      </c>
      <c r="R215" t="s">
        <v>16</v>
      </c>
      <c r="S215" t="s">
        <v>15</v>
      </c>
    </row>
    <row r="216" spans="13:19" ht="15" customHeight="1">
      <c r="M216" t="s">
        <v>101</v>
      </c>
      <c r="N216" s="1">
        <v>45833</v>
      </c>
      <c r="O216" t="s">
        <v>31</v>
      </c>
      <c r="P216" t="s">
        <v>3</v>
      </c>
      <c r="Q216" t="s">
        <v>12</v>
      </c>
      <c r="R216" t="s">
        <v>16</v>
      </c>
      <c r="S216" t="s">
        <v>15</v>
      </c>
    </row>
    <row r="217" spans="13:19" ht="15" customHeight="1">
      <c r="M217" t="s">
        <v>168</v>
      </c>
      <c r="N217" s="1">
        <v>45682</v>
      </c>
      <c r="O217" t="s">
        <v>27</v>
      </c>
      <c r="P217" t="s">
        <v>33</v>
      </c>
      <c r="Q217" t="s">
        <v>12</v>
      </c>
      <c r="R217" t="s">
        <v>11</v>
      </c>
      <c r="S217" t="s">
        <v>15</v>
      </c>
    </row>
    <row r="218" spans="13:19" ht="15" customHeight="1">
      <c r="M218" t="s">
        <v>82</v>
      </c>
      <c r="N218" s="1">
        <v>45830</v>
      </c>
      <c r="O218" t="s">
        <v>27</v>
      </c>
      <c r="P218" t="s">
        <v>21</v>
      </c>
      <c r="Q218" t="s">
        <v>2</v>
      </c>
      <c r="R218" t="s">
        <v>1</v>
      </c>
      <c r="S218" t="s">
        <v>15</v>
      </c>
    </row>
    <row r="219" spans="13:19" ht="15" customHeight="1">
      <c r="M219" t="s">
        <v>65</v>
      </c>
      <c r="N219" s="1">
        <v>46087</v>
      </c>
      <c r="O219" t="s">
        <v>4</v>
      </c>
      <c r="P219" t="s">
        <v>3</v>
      </c>
      <c r="Q219" t="s">
        <v>2</v>
      </c>
      <c r="R219" t="s">
        <v>1</v>
      </c>
      <c r="S219" t="s">
        <v>10</v>
      </c>
    </row>
    <row r="220" spans="13:19" ht="15" customHeight="1">
      <c r="M220" t="s">
        <v>5</v>
      </c>
      <c r="N220" s="1">
        <v>46143</v>
      </c>
      <c r="O220" t="s">
        <v>4</v>
      </c>
      <c r="P220" t="s">
        <v>3</v>
      </c>
      <c r="Q220" t="s">
        <v>2</v>
      </c>
      <c r="R220" t="s">
        <v>1</v>
      </c>
      <c r="S220" t="str">
        <f>IF(S205="Unknown","High",S205)</f>
        <v>High</v>
      </c>
    </row>
    <row r="221" spans="13:19" ht="15" customHeight="1">
      <c r="M221" t="s">
        <v>161</v>
      </c>
      <c r="N221" s="1">
        <v>45991</v>
      </c>
      <c r="O221" t="s">
        <v>27</v>
      </c>
      <c r="P221" t="s">
        <v>26</v>
      </c>
      <c r="Q221" t="s">
        <v>12</v>
      </c>
      <c r="R221" t="s">
        <v>47</v>
      </c>
      <c r="S221" t="s">
        <v>15</v>
      </c>
    </row>
    <row r="222" spans="13:19" ht="15" customHeight="1">
      <c r="M222" t="s">
        <v>239</v>
      </c>
      <c r="N222" s="1">
        <v>46002</v>
      </c>
      <c r="O222" t="str" cm="1">
        <f t="array" ref="O222">IF(O200="Unknown",INDEX(O$2:O$292,MODE(MATCH(O$2:O$292,O$2:O$292,0))),O200)</f>
        <v>Theft</v>
      </c>
      <c r="P222" t="s">
        <v>3</v>
      </c>
      <c r="Q222" t="s">
        <v>12</v>
      </c>
      <c r="R222" t="s">
        <v>16</v>
      </c>
      <c r="S222" t="s">
        <v>15</v>
      </c>
    </row>
    <row r="223" spans="13:19" ht="15" customHeight="1">
      <c r="M223" t="s">
        <v>138</v>
      </c>
      <c r="N223" s="1">
        <v>45924</v>
      </c>
      <c r="O223" t="s">
        <v>27</v>
      </c>
      <c r="P223" t="s">
        <v>3</v>
      </c>
      <c r="Q223" t="s">
        <v>12</v>
      </c>
      <c r="R223" t="str" cm="1">
        <f t="array" ref="R223">IF(R205="Unknown",INDEX(R$2:R$292,MODE(MATCH(R$2:R$292,R$2:R$292,0))),R205)</f>
        <v>Under Investigation</v>
      </c>
      <c r="S223" t="s">
        <v>15</v>
      </c>
    </row>
    <row r="224" spans="13:19" ht="15" customHeight="1">
      <c r="M224" t="s">
        <v>292</v>
      </c>
      <c r="N224" s="1">
        <v>45974</v>
      </c>
      <c r="O224" t="s">
        <v>4</v>
      </c>
      <c r="P224" t="s">
        <v>26</v>
      </c>
      <c r="Q224" t="s">
        <v>12</v>
      </c>
      <c r="R224" t="s">
        <v>11</v>
      </c>
      <c r="S224" t="s">
        <v>10</v>
      </c>
    </row>
    <row r="225" spans="13:19" ht="15" customHeight="1">
      <c r="M225" t="s">
        <v>167</v>
      </c>
      <c r="N225" s="1">
        <v>45694</v>
      </c>
      <c r="O225" t="s">
        <v>31</v>
      </c>
      <c r="P225" t="s">
        <v>26</v>
      </c>
      <c r="Q225" t="s">
        <v>12</v>
      </c>
      <c r="R225" t="s">
        <v>47</v>
      </c>
      <c r="S225" t="s">
        <v>15</v>
      </c>
    </row>
    <row r="226" spans="13:19" ht="15" customHeight="1">
      <c r="M226" t="s">
        <v>106</v>
      </c>
      <c r="N226" s="1">
        <v>46223</v>
      </c>
      <c r="O226" t="s">
        <v>4</v>
      </c>
      <c r="P226" t="s">
        <v>33</v>
      </c>
      <c r="Q226" t="s">
        <v>2</v>
      </c>
      <c r="R226" t="s">
        <v>1</v>
      </c>
      <c r="S226" t="s">
        <v>10</v>
      </c>
    </row>
    <row r="227" spans="13:19" ht="15" customHeight="1">
      <c r="M227" t="s">
        <v>64</v>
      </c>
      <c r="N227" s="1">
        <v>46044</v>
      </c>
      <c r="O227" t="s">
        <v>8</v>
      </c>
      <c r="P227" t="s">
        <v>3</v>
      </c>
      <c r="Q227" t="s">
        <v>2</v>
      </c>
      <c r="R227" t="s">
        <v>1</v>
      </c>
      <c r="S227" t="s">
        <v>6</v>
      </c>
    </row>
    <row r="228" spans="13:19" ht="15" customHeight="1">
      <c r="M228" t="s">
        <v>143</v>
      </c>
      <c r="N228" s="1">
        <v>45889</v>
      </c>
      <c r="O228" t="s">
        <v>27</v>
      </c>
      <c r="P228" t="s">
        <v>26</v>
      </c>
      <c r="Q228" t="s">
        <v>12</v>
      </c>
      <c r="R228" t="s">
        <v>1</v>
      </c>
      <c r="S228" t="s">
        <v>15</v>
      </c>
    </row>
    <row r="229" spans="13:19" ht="15" customHeight="1">
      <c r="M229" t="s">
        <v>86</v>
      </c>
      <c r="N229" s="1">
        <v>45988</v>
      </c>
      <c r="O229" t="s">
        <v>27</v>
      </c>
      <c r="P229" t="s">
        <v>3</v>
      </c>
      <c r="Q229" t="s">
        <v>2</v>
      </c>
      <c r="R229" t="str" cm="1">
        <f t="array" ref="R229">IF(R211="Unknown",INDEX(R$2:R$292,MODE(MATCH(R$2:R$292,R$2:R$292,0))),R211)</f>
        <v>Closed</v>
      </c>
      <c r="S229" t="s">
        <v>15</v>
      </c>
    </row>
    <row r="230" spans="13:19" ht="15" customHeight="1">
      <c r="M230" t="s">
        <v>24</v>
      </c>
      <c r="N230" s="1">
        <v>45822</v>
      </c>
      <c r="O230" t="s">
        <v>22</v>
      </c>
      <c r="P230" t="s">
        <v>7</v>
      </c>
      <c r="Q230" t="s">
        <v>12</v>
      </c>
      <c r="R230" t="s">
        <v>11</v>
      </c>
      <c r="S230" t="s">
        <v>15</v>
      </c>
    </row>
    <row r="231" spans="13:19" ht="15" customHeight="1">
      <c r="M231" t="s">
        <v>142</v>
      </c>
      <c r="N231" s="1">
        <v>45723</v>
      </c>
      <c r="O231" t="s">
        <v>31</v>
      </c>
      <c r="P231" t="s">
        <v>26</v>
      </c>
      <c r="Q231" t="s">
        <v>2</v>
      </c>
      <c r="R231" t="s">
        <v>1</v>
      </c>
      <c r="S231" t="s">
        <v>15</v>
      </c>
    </row>
    <row r="232" spans="13:19" ht="15" customHeight="1">
      <c r="M232" t="s">
        <v>284</v>
      </c>
      <c r="N232" s="1">
        <v>45885</v>
      </c>
      <c r="O232" t="str" cm="1">
        <f t="array" ref="O232">IF(O210="Unknown",INDEX(O$2:O$292,MODE(MATCH(O$2:O$292,O$2:O$292,0))),O210)</f>
        <v>Robbery</v>
      </c>
      <c r="P232" t="s">
        <v>21</v>
      </c>
      <c r="Q232" t="s">
        <v>2</v>
      </c>
      <c r="R232" t="s">
        <v>16</v>
      </c>
      <c r="S232" t="s">
        <v>15</v>
      </c>
    </row>
    <row r="233" spans="13:19" ht="15" customHeight="1">
      <c r="M233" t="s">
        <v>97</v>
      </c>
      <c r="N233" s="1">
        <v>45867</v>
      </c>
      <c r="O233" t="s">
        <v>22</v>
      </c>
      <c r="P233" t="s">
        <v>26</v>
      </c>
      <c r="Q233" t="s">
        <v>12</v>
      </c>
      <c r="R233" t="s">
        <v>1</v>
      </c>
      <c r="S233" t="s">
        <v>96</v>
      </c>
    </row>
    <row r="234" spans="13:19" ht="15" customHeight="1">
      <c r="M234" t="s">
        <v>207</v>
      </c>
      <c r="N234" s="1">
        <v>46206</v>
      </c>
      <c r="O234" t="s">
        <v>31</v>
      </c>
      <c r="P234" t="s">
        <v>3</v>
      </c>
      <c r="Q234" t="s">
        <v>2</v>
      </c>
      <c r="R234" t="s">
        <v>47</v>
      </c>
      <c r="S234" t="s">
        <v>15</v>
      </c>
    </row>
    <row r="235" spans="13:19" ht="15" customHeight="1">
      <c r="M235" t="s">
        <v>115</v>
      </c>
      <c r="N235" s="1">
        <v>45761</v>
      </c>
      <c r="O235" t="s">
        <v>27</v>
      </c>
      <c r="P235" t="s">
        <v>7</v>
      </c>
      <c r="Q235" t="s">
        <v>2</v>
      </c>
      <c r="R235" t="s">
        <v>16</v>
      </c>
      <c r="S235" t="s">
        <v>15</v>
      </c>
    </row>
    <row r="236" spans="13:19" ht="15" customHeight="1">
      <c r="M236" t="s">
        <v>137</v>
      </c>
      <c r="N236" s="1">
        <v>46051</v>
      </c>
      <c r="O236" t="str" cm="1">
        <f t="array" ref="O236">IF(O214="Unknown",INDEX(O$2:O$292,MODE(MATCH(O$2:O$292,O$2:O$292,0))),O214)</f>
        <v>Fraud</v>
      </c>
      <c r="P236" t="s">
        <v>7</v>
      </c>
      <c r="Q236" t="s">
        <v>12</v>
      </c>
      <c r="R236" t="s">
        <v>11</v>
      </c>
      <c r="S236" t="s">
        <v>6</v>
      </c>
    </row>
    <row r="237" spans="13:19" ht="15" customHeight="1">
      <c r="M237" t="s">
        <v>253</v>
      </c>
      <c r="N237" s="1">
        <v>45710</v>
      </c>
      <c r="O237" t="s">
        <v>27</v>
      </c>
      <c r="P237" t="s">
        <v>7</v>
      </c>
      <c r="Q237" t="s">
        <v>30</v>
      </c>
      <c r="R237" t="s">
        <v>16</v>
      </c>
      <c r="S237" t="s">
        <v>15</v>
      </c>
    </row>
    <row r="238" spans="13:19" ht="15" customHeight="1">
      <c r="M238" t="s">
        <v>63</v>
      </c>
      <c r="N238" s="1">
        <v>45746</v>
      </c>
      <c r="O238" t="s">
        <v>27</v>
      </c>
      <c r="P238" t="s">
        <v>3</v>
      </c>
      <c r="Q238" t="s">
        <v>315</v>
      </c>
      <c r="R238" t="s">
        <v>1</v>
      </c>
      <c r="S238" t="s">
        <v>15</v>
      </c>
    </row>
    <row r="239" spans="13:19" ht="15" customHeight="1">
      <c r="M239" t="s">
        <v>14</v>
      </c>
      <c r="N239" s="1">
        <v>45681</v>
      </c>
      <c r="O239" t="s">
        <v>4</v>
      </c>
      <c r="P239" t="s">
        <v>13</v>
      </c>
      <c r="Q239" t="s">
        <v>12</v>
      </c>
      <c r="R239" t="s">
        <v>11</v>
      </c>
      <c r="S239" t="s">
        <v>10</v>
      </c>
    </row>
    <row r="240" spans="13:19" ht="15" customHeight="1">
      <c r="M240" t="s">
        <v>35</v>
      </c>
      <c r="N240" s="1">
        <v>45908</v>
      </c>
      <c r="O240" t="s">
        <v>4</v>
      </c>
      <c r="P240" t="s">
        <v>13</v>
      </c>
      <c r="Q240" t="s">
        <v>2</v>
      </c>
      <c r="R240" t="s">
        <v>11</v>
      </c>
      <c r="S240" t="s">
        <v>10</v>
      </c>
    </row>
    <row r="241" spans="13:19" ht="15" customHeight="1">
      <c r="M241" t="s">
        <v>307</v>
      </c>
      <c r="N241" s="1">
        <v>45849</v>
      </c>
      <c r="O241" t="s">
        <v>27</v>
      </c>
      <c r="P241" t="s">
        <v>21</v>
      </c>
      <c r="Q241" t="s">
        <v>2</v>
      </c>
      <c r="R241" t="s">
        <v>1</v>
      </c>
      <c r="S241" t="str">
        <f>IF(S226="Unknown","High",S226)</f>
        <v>Low</v>
      </c>
    </row>
    <row r="242" spans="13:19" ht="15" customHeight="1">
      <c r="M242" t="s">
        <v>19</v>
      </c>
      <c r="N242" s="1">
        <f>IF(N2="Unknown",MEDIAN($B$2:$B$292),N2)</f>
        <v>46215</v>
      </c>
      <c r="O242" t="s">
        <v>8</v>
      </c>
      <c r="P242" t="s">
        <v>13</v>
      </c>
      <c r="Q242" t="s">
        <v>12</v>
      </c>
      <c r="R242" t="s">
        <v>1</v>
      </c>
      <c r="S242" t="s">
        <v>6</v>
      </c>
    </row>
    <row r="243" spans="13:19" ht="15" customHeight="1">
      <c r="M243" t="s">
        <v>18</v>
      </c>
      <c r="N243" s="1">
        <v>45691</v>
      </c>
      <c r="O243" t="s">
        <v>8</v>
      </c>
      <c r="P243" t="s">
        <v>7</v>
      </c>
      <c r="Q243" t="s">
        <v>12</v>
      </c>
      <c r="R243" t="s">
        <v>11</v>
      </c>
      <c r="S243" t="str">
        <f>IF(S228="Unknown","High",S228)</f>
        <v>Medium</v>
      </c>
    </row>
    <row r="244" spans="13:19" ht="15" customHeight="1">
      <c r="M244" t="s">
        <v>231</v>
      </c>
      <c r="N244" s="1">
        <v>45921</v>
      </c>
      <c r="O244" t="s">
        <v>36</v>
      </c>
      <c r="P244" t="s">
        <v>33</v>
      </c>
      <c r="Q244" t="s">
        <v>12</v>
      </c>
      <c r="R244" t="s">
        <v>11</v>
      </c>
      <c r="S244" t="s">
        <v>6</v>
      </c>
    </row>
    <row r="245" spans="13:19" ht="15" customHeight="1">
      <c r="M245" t="s">
        <v>105</v>
      </c>
      <c r="N245" s="1">
        <v>46230</v>
      </c>
      <c r="O245" t="s">
        <v>31</v>
      </c>
      <c r="P245" t="s">
        <v>26</v>
      </c>
      <c r="Q245" t="s">
        <v>2</v>
      </c>
      <c r="R245" t="s">
        <v>1</v>
      </c>
      <c r="S245" t="s">
        <v>15</v>
      </c>
    </row>
    <row r="246" spans="13:19" ht="15" customHeight="1">
      <c r="M246" t="s">
        <v>278</v>
      </c>
      <c r="N246" s="1">
        <v>46208</v>
      </c>
      <c r="O246" t="s">
        <v>22</v>
      </c>
      <c r="P246" t="s">
        <v>26</v>
      </c>
      <c r="Q246" t="s">
        <v>30</v>
      </c>
      <c r="R246" t="s">
        <v>11</v>
      </c>
      <c r="S246" t="s">
        <v>15</v>
      </c>
    </row>
    <row r="247" spans="13:19" ht="15" customHeight="1">
      <c r="M247" t="s">
        <v>141</v>
      </c>
      <c r="N247" s="1">
        <f>IF(N2="Unknown",MEDIAN($B$2:$B$292),N2)</f>
        <v>46215</v>
      </c>
      <c r="O247" t="s">
        <v>27</v>
      </c>
      <c r="P247" t="s">
        <v>7</v>
      </c>
      <c r="Q247" t="s">
        <v>12</v>
      </c>
      <c r="R247" t="s">
        <v>11</v>
      </c>
      <c r="S247" t="s">
        <v>15</v>
      </c>
    </row>
    <row r="248" spans="13:19" ht="15" customHeight="1">
      <c r="M248" t="s">
        <v>176</v>
      </c>
      <c r="N248" s="1">
        <v>46008</v>
      </c>
      <c r="O248" t="s">
        <v>36</v>
      </c>
      <c r="P248" t="s">
        <v>3</v>
      </c>
      <c r="Q248" t="s">
        <v>12</v>
      </c>
      <c r="R248" t="s">
        <v>11</v>
      </c>
      <c r="S248" t="s">
        <v>6</v>
      </c>
    </row>
    <row r="249" spans="13:19" ht="15" customHeight="1">
      <c r="M249" t="s">
        <v>250</v>
      </c>
      <c r="N249" s="1">
        <v>46016</v>
      </c>
      <c r="O249" t="s">
        <v>31</v>
      </c>
      <c r="P249" t="s">
        <v>7</v>
      </c>
      <c r="Q249" t="s">
        <v>315</v>
      </c>
      <c r="R249" t="s">
        <v>16</v>
      </c>
      <c r="S249" t="s">
        <v>15</v>
      </c>
    </row>
    <row r="250" spans="13:19" ht="15" customHeight="1">
      <c r="M250" t="s">
        <v>281</v>
      </c>
      <c r="N250" s="1">
        <v>45922</v>
      </c>
      <c r="O250" t="s">
        <v>8</v>
      </c>
      <c r="P250" t="s">
        <v>3</v>
      </c>
      <c r="Q250" t="s">
        <v>2</v>
      </c>
      <c r="R250" t="s">
        <v>1</v>
      </c>
      <c r="S250" t="s">
        <v>6</v>
      </c>
    </row>
    <row r="251" spans="13:19" ht="15" customHeight="1">
      <c r="M251" t="s">
        <v>217</v>
      </c>
      <c r="N251" s="1">
        <v>46218</v>
      </c>
      <c r="O251" t="s">
        <v>4</v>
      </c>
      <c r="P251" t="s">
        <v>7</v>
      </c>
      <c r="Q251" t="s">
        <v>2</v>
      </c>
      <c r="R251" t="s">
        <v>16</v>
      </c>
      <c r="S251" t="s">
        <v>10</v>
      </c>
    </row>
    <row r="252" spans="13:19" ht="15" customHeight="1">
      <c r="M252" t="s">
        <v>130</v>
      </c>
      <c r="N252" s="1">
        <v>45848</v>
      </c>
      <c r="O252" t="s">
        <v>8</v>
      </c>
      <c r="P252" t="s">
        <v>3</v>
      </c>
      <c r="Q252" t="s">
        <v>12</v>
      </c>
      <c r="R252" t="s">
        <v>1</v>
      </c>
      <c r="S252" t="s">
        <v>6</v>
      </c>
    </row>
    <row r="253" spans="13:19" ht="15" customHeight="1">
      <c r="M253" t="s">
        <v>254</v>
      </c>
      <c r="N253" s="1">
        <f>IF(N2="Unknown",MEDIAN($B$2:$B$292),N2)</f>
        <v>46215</v>
      </c>
      <c r="O253" t="s">
        <v>31</v>
      </c>
      <c r="P253" t="s">
        <v>3</v>
      </c>
      <c r="Q253" t="s">
        <v>12</v>
      </c>
      <c r="R253" t="s">
        <v>16</v>
      </c>
      <c r="S253" t="s">
        <v>15</v>
      </c>
    </row>
    <row r="254" spans="13:19" ht="15" customHeight="1">
      <c r="M254" t="s">
        <v>233</v>
      </c>
      <c r="N254" s="1">
        <v>46052</v>
      </c>
      <c r="O254" t="s">
        <v>27</v>
      </c>
      <c r="P254" t="s">
        <v>26</v>
      </c>
      <c r="Q254" t="s">
        <v>12</v>
      </c>
      <c r="R254" t="str" cm="1">
        <f t="array" ref="R254">IF(R236="Unknown",INDEX(R$2:R$292,MODE(MATCH(R$2:R$292,R$2:R$292,0))),R236)</f>
        <v>Under Investigation</v>
      </c>
      <c r="S254" t="s">
        <v>15</v>
      </c>
    </row>
    <row r="255" spans="13:19" ht="15" customHeight="1">
      <c r="M255" t="s">
        <v>70</v>
      </c>
      <c r="N255" s="1">
        <v>45817</v>
      </c>
      <c r="O255" t="s">
        <v>27</v>
      </c>
      <c r="P255" t="s">
        <v>21</v>
      </c>
      <c r="Q255" t="s">
        <v>2</v>
      </c>
      <c r="R255" t="s">
        <v>11</v>
      </c>
      <c r="S255" t="s">
        <v>55</v>
      </c>
    </row>
    <row r="256" spans="13:19" ht="15" customHeight="1">
      <c r="M256" t="s">
        <v>265</v>
      </c>
      <c r="N256" s="1">
        <v>46222</v>
      </c>
      <c r="O256" t="s">
        <v>31</v>
      </c>
      <c r="P256" t="s">
        <v>3</v>
      </c>
      <c r="Q256" t="s">
        <v>2</v>
      </c>
      <c r="R256" t="s">
        <v>11</v>
      </c>
      <c r="S256" t="s">
        <v>15</v>
      </c>
    </row>
    <row r="257" spans="13:19" ht="15" customHeight="1">
      <c r="M257" t="s">
        <v>110</v>
      </c>
      <c r="N257" s="1">
        <v>46124</v>
      </c>
      <c r="O257" t="s">
        <v>27</v>
      </c>
      <c r="P257" t="s">
        <v>3</v>
      </c>
      <c r="Q257" t="s">
        <v>2</v>
      </c>
      <c r="R257" t="s">
        <v>1</v>
      </c>
      <c r="S257" t="s">
        <v>15</v>
      </c>
    </row>
    <row r="258" spans="13:19" ht="15" customHeight="1">
      <c r="M258" t="s">
        <v>124</v>
      </c>
      <c r="N258" s="1">
        <f>IF(N2="Unknown",MEDIAN($B$2:$B$292),N2)</f>
        <v>46215</v>
      </c>
      <c r="O258" t="s">
        <v>4</v>
      </c>
      <c r="P258" t="s">
        <v>13</v>
      </c>
      <c r="Q258" t="s">
        <v>2</v>
      </c>
      <c r="R258" t="s">
        <v>16</v>
      </c>
      <c r="S258" t="s">
        <v>10</v>
      </c>
    </row>
    <row r="259" spans="13:19" ht="15" customHeight="1">
      <c r="M259" t="s">
        <v>134</v>
      </c>
      <c r="N259" s="1">
        <v>46215</v>
      </c>
      <c r="O259" t="s">
        <v>8</v>
      </c>
      <c r="P259" t="s">
        <v>3</v>
      </c>
      <c r="Q259" t="s">
        <v>2</v>
      </c>
      <c r="R259" t="s">
        <v>16</v>
      </c>
      <c r="S259" t="s">
        <v>6</v>
      </c>
    </row>
    <row r="260" spans="13:19" ht="15" customHeight="1">
      <c r="M260" t="s">
        <v>294</v>
      </c>
      <c r="N260" s="1">
        <v>45817</v>
      </c>
      <c r="O260" t="s">
        <v>4</v>
      </c>
      <c r="P260" t="s">
        <v>21</v>
      </c>
      <c r="Q260" t="s">
        <v>2</v>
      </c>
      <c r="R260" t="s">
        <v>11</v>
      </c>
      <c r="S260" t="s">
        <v>10</v>
      </c>
    </row>
    <row r="261" spans="13:19" ht="15" customHeight="1">
      <c r="M261" t="s">
        <v>129</v>
      </c>
      <c r="N261" s="1">
        <v>46118</v>
      </c>
      <c r="O261" t="s">
        <v>31</v>
      </c>
      <c r="P261" t="s">
        <v>3</v>
      </c>
      <c r="Q261" t="s">
        <v>2</v>
      </c>
      <c r="R261" t="s">
        <v>11</v>
      </c>
      <c r="S261" t="s">
        <v>15</v>
      </c>
    </row>
    <row r="262" spans="13:19" ht="15" customHeight="1">
      <c r="M262" t="s">
        <v>74</v>
      </c>
      <c r="N262" s="1">
        <v>46081</v>
      </c>
      <c r="O262" t="s">
        <v>8</v>
      </c>
      <c r="P262" t="s">
        <v>7</v>
      </c>
      <c r="Q262" t="s">
        <v>12</v>
      </c>
      <c r="R262" t="s">
        <v>11</v>
      </c>
      <c r="S262" t="s">
        <v>6</v>
      </c>
    </row>
    <row r="263" spans="13:19" ht="15" customHeight="1">
      <c r="M263" t="s">
        <v>56</v>
      </c>
      <c r="N263" s="1">
        <v>45897</v>
      </c>
      <c r="O263" t="s">
        <v>31</v>
      </c>
      <c r="P263" t="s">
        <v>7</v>
      </c>
      <c r="Q263" t="s">
        <v>2</v>
      </c>
      <c r="R263" t="s">
        <v>16</v>
      </c>
      <c r="S263" t="s">
        <v>55</v>
      </c>
    </row>
    <row r="264" spans="13:19" ht="15" customHeight="1">
      <c r="M264" t="s">
        <v>194</v>
      </c>
      <c r="N264" s="1">
        <v>45713</v>
      </c>
      <c r="O264" t="s">
        <v>31</v>
      </c>
      <c r="P264" t="s">
        <v>3</v>
      </c>
      <c r="Q264" t="s">
        <v>30</v>
      </c>
      <c r="R264" t="s">
        <v>16</v>
      </c>
      <c r="S264" t="s">
        <v>15</v>
      </c>
    </row>
    <row r="265" spans="13:19" ht="15" customHeight="1">
      <c r="M265" t="s">
        <v>229</v>
      </c>
      <c r="N265" s="1">
        <v>45879</v>
      </c>
      <c r="O265" t="s">
        <v>31</v>
      </c>
      <c r="P265" t="s">
        <v>26</v>
      </c>
      <c r="Q265" t="s">
        <v>2</v>
      </c>
      <c r="R265" t="s">
        <v>47</v>
      </c>
      <c r="S265" t="s">
        <v>15</v>
      </c>
    </row>
    <row r="266" spans="13:19" ht="15" customHeight="1">
      <c r="M266" t="s">
        <v>300</v>
      </c>
      <c r="N266" s="1">
        <v>45702</v>
      </c>
      <c r="O266" t="s">
        <v>31</v>
      </c>
      <c r="P266" t="s">
        <v>26</v>
      </c>
      <c r="Q266" t="s">
        <v>2</v>
      </c>
      <c r="R266" t="str" cm="1">
        <f t="array" ref="R266">IF(R248="Unknown",INDEX(R$2:R$292,MODE(MATCH(R$2:R$292,R$2:R$292,0))),R248)</f>
        <v>Under Investigation</v>
      </c>
      <c r="S266" t="s">
        <v>15</v>
      </c>
    </row>
    <row r="267" spans="13:19" ht="15" customHeight="1">
      <c r="M267" t="s">
        <v>73</v>
      </c>
      <c r="N267" s="1">
        <v>45733</v>
      </c>
      <c r="O267" t="s">
        <v>36</v>
      </c>
      <c r="P267" t="s">
        <v>3</v>
      </c>
      <c r="Q267" t="s">
        <v>2</v>
      </c>
      <c r="R267" t="s">
        <v>11</v>
      </c>
      <c r="S267" t="s">
        <v>6</v>
      </c>
    </row>
    <row r="268" spans="13:19" ht="15" customHeight="1">
      <c r="M268" t="s">
        <v>286</v>
      </c>
      <c r="N268" s="1">
        <v>45782</v>
      </c>
      <c r="O268" t="s">
        <v>27</v>
      </c>
      <c r="P268" t="s">
        <v>3</v>
      </c>
      <c r="Q268" t="s">
        <v>2</v>
      </c>
      <c r="R268" t="str" cm="1">
        <f t="array" ref="R268">IF(R250="Unknown",INDEX(R$2:R$292,MODE(MATCH(R$2:R$292,R$2:R$292,0))),R250)</f>
        <v>Closed</v>
      </c>
      <c r="S268" t="s">
        <v>15</v>
      </c>
    </row>
    <row r="269" spans="13:19" ht="15" customHeight="1">
      <c r="M269" t="s">
        <v>242</v>
      </c>
      <c r="N269" s="1">
        <v>45774</v>
      </c>
      <c r="O269" t="s">
        <v>36</v>
      </c>
      <c r="P269" t="s">
        <v>3</v>
      </c>
      <c r="Q269" t="s">
        <v>2</v>
      </c>
      <c r="R269" t="s">
        <v>1</v>
      </c>
      <c r="S269" t="s">
        <v>6</v>
      </c>
    </row>
    <row r="270" spans="13:19" ht="15" customHeight="1">
      <c r="M270" t="s">
        <v>20</v>
      </c>
      <c r="N270" s="1">
        <v>46052</v>
      </c>
      <c r="O270" t="s">
        <v>8</v>
      </c>
      <c r="P270" t="s">
        <v>13</v>
      </c>
      <c r="Q270" t="s">
        <v>12</v>
      </c>
      <c r="R270" t="s">
        <v>11</v>
      </c>
      <c r="S270" t="s">
        <v>6</v>
      </c>
    </row>
    <row r="271" spans="13:19" ht="15" customHeight="1">
      <c r="M271" t="s">
        <v>9</v>
      </c>
      <c r="N271" s="1">
        <v>45711</v>
      </c>
      <c r="O271" t="s">
        <v>8</v>
      </c>
      <c r="P271" t="s">
        <v>7</v>
      </c>
      <c r="Q271" t="s">
        <v>2</v>
      </c>
      <c r="R271" t="s">
        <v>1</v>
      </c>
      <c r="S271" t="s">
        <v>6</v>
      </c>
    </row>
    <row r="272" spans="13:19" ht="15" customHeight="1">
      <c r="M272" t="s">
        <v>71</v>
      </c>
      <c r="N272" s="1">
        <v>46186</v>
      </c>
      <c r="O272" t="s">
        <v>4</v>
      </c>
      <c r="P272" t="s">
        <v>13</v>
      </c>
      <c r="Q272" t="s">
        <v>2</v>
      </c>
      <c r="R272" t="s">
        <v>47</v>
      </c>
      <c r="S272" t="s">
        <v>10</v>
      </c>
    </row>
    <row r="273" spans="13:19" ht="15" customHeight="1">
      <c r="M273" t="s">
        <v>282</v>
      </c>
      <c r="N273" s="1">
        <v>45971</v>
      </c>
      <c r="O273" t="s">
        <v>4</v>
      </c>
      <c r="P273" t="s">
        <v>33</v>
      </c>
      <c r="Q273" t="s">
        <v>2</v>
      </c>
      <c r="R273" t="s">
        <v>1</v>
      </c>
      <c r="S273" t="s">
        <v>10</v>
      </c>
    </row>
    <row r="274" spans="13:19" ht="15" customHeight="1">
      <c r="M274" t="s">
        <v>76</v>
      </c>
      <c r="N274" s="1">
        <v>46084</v>
      </c>
      <c r="O274" t="s">
        <v>36</v>
      </c>
      <c r="P274" t="s">
        <v>3</v>
      </c>
      <c r="Q274" t="s">
        <v>2</v>
      </c>
      <c r="R274" t="s">
        <v>16</v>
      </c>
      <c r="S274" t="s">
        <v>6</v>
      </c>
    </row>
    <row r="275" spans="13:19" ht="15" customHeight="1">
      <c r="M275" t="s">
        <v>121</v>
      </c>
      <c r="N275" s="1">
        <v>46088</v>
      </c>
      <c r="O275" t="s">
        <v>31</v>
      </c>
      <c r="P275" t="s">
        <v>26</v>
      </c>
      <c r="Q275" t="s">
        <v>120</v>
      </c>
      <c r="R275" t="s">
        <v>47</v>
      </c>
      <c r="S275" t="s">
        <v>15</v>
      </c>
    </row>
    <row r="276" spans="13:19" ht="15" customHeight="1">
      <c r="M276" t="s">
        <v>299</v>
      </c>
      <c r="N276" s="1">
        <v>45816</v>
      </c>
      <c r="O276" t="s">
        <v>8</v>
      </c>
      <c r="P276" t="s">
        <v>26</v>
      </c>
      <c r="Q276" t="s">
        <v>2</v>
      </c>
      <c r="R276" t="s">
        <v>11</v>
      </c>
      <c r="S276" t="s">
        <v>6</v>
      </c>
    </row>
    <row r="277" spans="13:19" ht="15" customHeight="1">
      <c r="M277" t="s">
        <v>43</v>
      </c>
      <c r="N277" s="1">
        <v>45932</v>
      </c>
      <c r="O277" t="s">
        <v>27</v>
      </c>
      <c r="P277" t="s">
        <v>13</v>
      </c>
      <c r="Q277" t="s">
        <v>2</v>
      </c>
      <c r="R277" t="s">
        <v>11</v>
      </c>
      <c r="S277" t="s">
        <v>15</v>
      </c>
    </row>
    <row r="278" spans="13:19" ht="15" customHeight="1">
      <c r="M278" t="s">
        <v>58</v>
      </c>
      <c r="N278" s="1">
        <v>45782</v>
      </c>
      <c r="O278" t="s">
        <v>8</v>
      </c>
      <c r="P278" t="s">
        <v>13</v>
      </c>
      <c r="Q278" t="s">
        <v>2</v>
      </c>
      <c r="R278" t="s">
        <v>11</v>
      </c>
      <c r="S278" t="s">
        <v>6</v>
      </c>
    </row>
    <row r="279" spans="13:19" ht="15" customHeight="1">
      <c r="M279" t="s">
        <v>62</v>
      </c>
      <c r="N279" s="1">
        <v>45858</v>
      </c>
      <c r="O279" t="s">
        <v>31</v>
      </c>
      <c r="P279" t="s">
        <v>26</v>
      </c>
      <c r="Q279" t="s">
        <v>2</v>
      </c>
      <c r="R279" t="s">
        <v>16</v>
      </c>
      <c r="S279" t="s">
        <v>15</v>
      </c>
    </row>
    <row r="280" spans="13:19" ht="15" customHeight="1">
      <c r="M280" t="s">
        <v>135</v>
      </c>
      <c r="N280" s="1">
        <v>46203</v>
      </c>
      <c r="O280" t="s">
        <v>36</v>
      </c>
      <c r="P280" t="s">
        <v>26</v>
      </c>
      <c r="Q280" t="s">
        <v>315</v>
      </c>
      <c r="R280" t="s">
        <v>1</v>
      </c>
      <c r="S280" t="s">
        <v>6</v>
      </c>
    </row>
    <row r="281" spans="13:19" ht="15" customHeight="1">
      <c r="M281" t="s">
        <v>177</v>
      </c>
      <c r="N281" s="1">
        <v>45901</v>
      </c>
      <c r="O281" t="s">
        <v>27</v>
      </c>
      <c r="P281" t="s">
        <v>33</v>
      </c>
      <c r="Q281" t="s">
        <v>12</v>
      </c>
      <c r="R281" t="s">
        <v>47</v>
      </c>
      <c r="S281" t="s">
        <v>15</v>
      </c>
    </row>
    <row r="282" spans="13:19" ht="15" customHeight="1">
      <c r="M282" t="s">
        <v>148</v>
      </c>
      <c r="N282" s="1">
        <v>45872</v>
      </c>
      <c r="O282" t="s">
        <v>31</v>
      </c>
      <c r="P282" t="s">
        <v>33</v>
      </c>
      <c r="Q282" t="s">
        <v>12</v>
      </c>
      <c r="R282" t="str" cm="1">
        <f t="array" ref="R282">IF(R264="Unknown",INDEX(R$2:R$292,MODE(MATCH(R$2:R$292,R$2:R$292,0))),R264)</f>
        <v>Open</v>
      </c>
      <c r="S282" t="s">
        <v>15</v>
      </c>
    </row>
    <row r="283" spans="13:19" ht="15" customHeight="1">
      <c r="M283" t="s">
        <v>170</v>
      </c>
      <c r="N283" s="1">
        <v>46231</v>
      </c>
      <c r="O283" t="s">
        <v>8</v>
      </c>
      <c r="P283" t="s">
        <v>13</v>
      </c>
      <c r="Q283" t="s">
        <v>30</v>
      </c>
      <c r="R283" t="s">
        <v>16</v>
      </c>
      <c r="S283" t="s">
        <v>6</v>
      </c>
    </row>
    <row r="284" spans="13:19" ht="15" customHeight="1">
      <c r="M284" t="s">
        <v>266</v>
      </c>
      <c r="N284" s="1">
        <v>45967</v>
      </c>
      <c r="O284" t="s">
        <v>36</v>
      </c>
      <c r="P284" t="s">
        <v>3</v>
      </c>
      <c r="Q284" t="s">
        <v>2</v>
      </c>
      <c r="R284" t="s">
        <v>11</v>
      </c>
      <c r="S284" t="s">
        <v>6</v>
      </c>
    </row>
    <row r="285" spans="13:19" ht="15" customHeight="1">
      <c r="M285" t="s">
        <v>39</v>
      </c>
      <c r="N285" s="1">
        <v>46228</v>
      </c>
      <c r="O285" t="s">
        <v>31</v>
      </c>
      <c r="P285" t="str">
        <f>IF(P269="Unknown","Hodan",P269)</f>
        <v>Hodan</v>
      </c>
      <c r="Q285" t="s">
        <v>12</v>
      </c>
      <c r="R285" t="s">
        <v>16</v>
      </c>
      <c r="S285" t="s">
        <v>15</v>
      </c>
    </row>
    <row r="286" spans="13:19" ht="15" customHeight="1">
      <c r="M286" t="s">
        <v>213</v>
      </c>
      <c r="N286" s="1">
        <v>45754</v>
      </c>
      <c r="O286" t="s">
        <v>27</v>
      </c>
      <c r="P286" t="s">
        <v>3</v>
      </c>
      <c r="Q286" t="s">
        <v>315</v>
      </c>
      <c r="R286" t="s">
        <v>11</v>
      </c>
      <c r="S286" t="s">
        <v>15</v>
      </c>
    </row>
    <row r="287" spans="13:19">
      <c r="M287" t="s">
        <v>29</v>
      </c>
      <c r="N287" s="1">
        <v>45856</v>
      </c>
      <c r="O287" t="str" cm="1">
        <f t="array" ref="O287">IF(O265="Unknown",INDEX(O$2:O$292,MODE(MATCH(O$2:O$292,O$2:O$292,0))),O265)</f>
        <v>Fraud</v>
      </c>
      <c r="P287" t="s">
        <v>26</v>
      </c>
      <c r="Q287" t="s">
        <v>12</v>
      </c>
      <c r="R287" t="s">
        <v>1</v>
      </c>
      <c r="S287" t="s">
        <v>15</v>
      </c>
    </row>
    <row r="288" spans="13:19">
      <c r="M288" t="s">
        <v>225</v>
      </c>
      <c r="N288" s="1">
        <v>45988</v>
      </c>
      <c r="O288" t="s">
        <v>27</v>
      </c>
      <c r="P288" t="s">
        <v>13</v>
      </c>
      <c r="Q288" t="s">
        <v>12</v>
      </c>
      <c r="R288" t="s">
        <v>16</v>
      </c>
      <c r="S288" t="s">
        <v>15</v>
      </c>
    </row>
    <row r="289" spans="13:19">
      <c r="M289" t="s">
        <v>126</v>
      </c>
      <c r="N289" s="1">
        <v>45926</v>
      </c>
      <c r="O289" t="s">
        <v>36</v>
      </c>
      <c r="P289" t="s">
        <v>3</v>
      </c>
      <c r="Q289" t="s">
        <v>2</v>
      </c>
      <c r="R289" t="s">
        <v>16</v>
      </c>
      <c r="S289" t="s">
        <v>6</v>
      </c>
    </row>
    <row r="290" spans="13:19">
      <c r="M290" t="s">
        <v>256</v>
      </c>
      <c r="N290" s="1">
        <v>46210</v>
      </c>
      <c r="O290" t="s">
        <v>27</v>
      </c>
      <c r="P290" t="s">
        <v>21</v>
      </c>
      <c r="Q290" t="s">
        <v>2</v>
      </c>
      <c r="R290" t="s">
        <v>16</v>
      </c>
      <c r="S290" t="s">
        <v>15</v>
      </c>
    </row>
    <row r="291" spans="13:19">
      <c r="M291" t="s">
        <v>193</v>
      </c>
      <c r="N291" s="1">
        <v>45797</v>
      </c>
      <c r="O291" t="s">
        <v>22</v>
      </c>
      <c r="P291" t="s">
        <v>13</v>
      </c>
      <c r="Q291" t="s">
        <v>2</v>
      </c>
      <c r="R291" t="s">
        <v>16</v>
      </c>
      <c r="S291" t="s">
        <v>15</v>
      </c>
    </row>
    <row r="292" spans="13:19">
      <c r="M292" t="s">
        <v>245</v>
      </c>
      <c r="N292" s="1">
        <v>45932</v>
      </c>
      <c r="O292" t="s">
        <v>36</v>
      </c>
      <c r="P292" t="s">
        <v>7</v>
      </c>
      <c r="Q292" t="s">
        <v>12</v>
      </c>
      <c r="R292" t="str" cm="1">
        <f t="array" ref="R292">IF(R274="Unknown",INDEX(R$2:R$292,MODE(MATCH(R$2:R$292,R$2:R$292,0))),R274)</f>
        <v>Open</v>
      </c>
      <c r="S292" t="s">
        <v>6</v>
      </c>
    </row>
    <row r="293" spans="13:19">
      <c r="M293" t="s">
        <v>240</v>
      </c>
      <c r="N293" s="1">
        <v>45848</v>
      </c>
      <c r="O293" t="s">
        <v>31</v>
      </c>
      <c r="P293" t="s">
        <v>3</v>
      </c>
      <c r="Q293" t="s">
        <v>2</v>
      </c>
      <c r="R293" t="s">
        <v>11</v>
      </c>
      <c r="S293" t="s">
        <v>15</v>
      </c>
    </row>
    <row r="294" spans="13:19">
      <c r="N294" s="1"/>
      <c r="O294" t="str" cm="1">
        <f t="array" ref="O294">IF(O272="Unknown",INDEX(O$2:O$292,MODE(MATCH(O$2:O$292,O$2:O$292,0))),O272)</f>
        <v>Traffic Offense</v>
      </c>
      <c r="P294" t="s">
        <v>3</v>
      </c>
      <c r="Q294" t="s">
        <v>12</v>
      </c>
      <c r="R294" t="s">
        <v>16</v>
      </c>
      <c r="S294" t="s">
        <v>6</v>
      </c>
    </row>
    <row r="295" spans="13:19">
      <c r="O295"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raw_data</vt:lpstr>
      <vt:lpstr>pivottable</vt:lpstr>
      <vt:lpstr>clean_data</vt:lpstr>
      <vt:lpstr>Finding</vt:lpstr>
      <vt:lpstr>Dashboard</vt:lpstr>
      <vt:lpstr>Sheet1</vt:lpstr>
      <vt:lpstr>analysing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Shuukri idriis</dc:creator>
  <cp:lastModifiedBy>Shuukri idriis</cp:lastModifiedBy>
  <dcterms:created xsi:type="dcterms:W3CDTF">2026-08-17T20:05:17Z</dcterms:created>
  <dcterms:modified xsi:type="dcterms:W3CDTF">2026-08-26T06:54:47Z</dcterms:modified>
</cp:coreProperties>
</file>